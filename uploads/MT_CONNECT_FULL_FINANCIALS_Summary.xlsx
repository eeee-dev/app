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e/Documents/ë/Projects/Mauritius Telecom/Connect (05.12.25)/"/>
    </mc:Choice>
  </mc:AlternateContent>
  <xr:revisionPtr revIDLastSave="0" documentId="13_ncr:1_{71DAC700-17C1-0D46-BD7E-F4F1985EF5AF}" xr6:coauthVersionLast="47" xr6:coauthVersionMax="47" xr10:uidLastSave="{00000000-0000-0000-0000-000000000000}"/>
  <bookViews>
    <workbookView xWindow="0" yWindow="500" windowWidth="28800" windowHeight="16220" activeTab="2" xr2:uid="{00000000-000D-0000-FFFF-FFFF00000000}"/>
  </bookViews>
  <sheets>
    <sheet name="Approved_KRIS" sheetId="1" r:id="rId1"/>
    <sheet name="Lists" sheetId="2" r:id="rId2"/>
    <sheet name="Revenue" sheetId="3" r:id="rId3"/>
    <sheet name="Expenses" sheetId="4" r:id="rId4"/>
    <sheet name="Cash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4" l="1"/>
  <c r="B30" i="1"/>
  <c r="B29" i="1"/>
  <c r="E19" i="6"/>
  <c r="E20" i="6"/>
  <c r="B19" i="1"/>
  <c r="K13" i="4"/>
  <c r="L13" i="4" s="1"/>
  <c r="B25" i="1"/>
  <c r="B27" i="1" s="1"/>
  <c r="B51" i="6"/>
  <c r="B50" i="6"/>
  <c r="B49" i="6"/>
  <c r="B48" i="6"/>
  <c r="B35" i="6"/>
  <c r="E32" i="6"/>
  <c r="E31" i="6"/>
  <c r="E30" i="6"/>
  <c r="E27" i="6"/>
  <c r="E25" i="6"/>
  <c r="B24" i="6"/>
  <c r="B22" i="6"/>
  <c r="E13" i="6"/>
  <c r="E12" i="6"/>
  <c r="B12" i="6"/>
  <c r="E11" i="6"/>
  <c r="E10" i="6"/>
  <c r="E8" i="6"/>
  <c r="G6" i="6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K139" i="4"/>
  <c r="L138" i="4"/>
  <c r="K138" i="4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L116" i="4"/>
  <c r="K116" i="4"/>
  <c r="L115" i="4"/>
  <c r="K115" i="4"/>
  <c r="L114" i="4"/>
  <c r="K114" i="4"/>
  <c r="L112" i="4"/>
  <c r="K112" i="4"/>
  <c r="K111" i="4"/>
  <c r="L111" i="4" s="1"/>
  <c r="K110" i="4"/>
  <c r="L110" i="4" s="1"/>
  <c r="K109" i="4"/>
  <c r="L109" i="4" s="1"/>
  <c r="K108" i="4"/>
  <c r="L108" i="4" s="1"/>
  <c r="K107" i="4"/>
  <c r="L107" i="4" s="1"/>
  <c r="K106" i="4"/>
  <c r="L106" i="4" s="1"/>
  <c r="K105" i="4"/>
  <c r="L105" i="4" s="1"/>
  <c r="K104" i="4"/>
  <c r="L104" i="4" s="1"/>
  <c r="K103" i="4"/>
  <c r="L103" i="4" s="1"/>
  <c r="K102" i="4"/>
  <c r="L102" i="4" s="1"/>
  <c r="K101" i="4"/>
  <c r="L101" i="4" s="1"/>
  <c r="K100" i="4"/>
  <c r="L100" i="4" s="1"/>
  <c r="K99" i="4"/>
  <c r="L99" i="4" s="1"/>
  <c r="K98" i="4"/>
  <c r="L98" i="4" s="1"/>
  <c r="K97" i="4"/>
  <c r="L97" i="4" s="1"/>
  <c r="K96" i="4"/>
  <c r="L96" i="4" s="1"/>
  <c r="K95" i="4"/>
  <c r="L95" i="4" s="1"/>
  <c r="K94" i="4"/>
  <c r="L94" i="4" s="1"/>
  <c r="K93" i="4"/>
  <c r="L93" i="4" s="1"/>
  <c r="K92" i="4"/>
  <c r="L92" i="4" s="1"/>
  <c r="K91" i="4"/>
  <c r="L91" i="4" s="1"/>
  <c r="K90" i="4"/>
  <c r="L90" i="4" s="1"/>
  <c r="K89" i="4"/>
  <c r="L89" i="4" s="1"/>
  <c r="K88" i="4"/>
  <c r="L88" i="4" s="1"/>
  <c r="K87" i="4"/>
  <c r="L87" i="4" s="1"/>
  <c r="K86" i="4"/>
  <c r="L86" i="4" s="1"/>
  <c r="K85" i="4"/>
  <c r="L85" i="4" s="1"/>
  <c r="K84" i="4"/>
  <c r="L84" i="4" s="1"/>
  <c r="K83" i="4"/>
  <c r="L83" i="4" s="1"/>
  <c r="K82" i="4"/>
  <c r="L82" i="4" s="1"/>
  <c r="K81" i="4"/>
  <c r="L81" i="4" s="1"/>
  <c r="K80" i="4"/>
  <c r="L80" i="4" s="1"/>
  <c r="K79" i="4"/>
  <c r="L79" i="4" s="1"/>
  <c r="K78" i="4"/>
  <c r="L78" i="4" s="1"/>
  <c r="K77" i="4"/>
  <c r="L77" i="4" s="1"/>
  <c r="K76" i="4"/>
  <c r="L76" i="4" s="1"/>
  <c r="K75" i="4"/>
  <c r="L75" i="4" s="1"/>
  <c r="K74" i="4"/>
  <c r="L74" i="4" s="1"/>
  <c r="K73" i="4"/>
  <c r="L73" i="4" s="1"/>
  <c r="K72" i="4"/>
  <c r="L72" i="4" s="1"/>
  <c r="K71" i="4"/>
  <c r="L71" i="4" s="1"/>
  <c r="K70" i="4"/>
  <c r="L70" i="4" s="1"/>
  <c r="K69" i="4"/>
  <c r="L69" i="4" s="1"/>
  <c r="K68" i="4"/>
  <c r="L68" i="4" s="1"/>
  <c r="K67" i="4"/>
  <c r="L67" i="4" s="1"/>
  <c r="K66" i="4"/>
  <c r="L66" i="4" s="1"/>
  <c r="K65" i="4"/>
  <c r="L65" i="4" s="1"/>
  <c r="K64" i="4"/>
  <c r="L64" i="4" s="1"/>
  <c r="K63" i="4"/>
  <c r="L63" i="4" s="1"/>
  <c r="K62" i="4"/>
  <c r="L62" i="4" s="1"/>
  <c r="K61" i="4"/>
  <c r="L61" i="4" s="1"/>
  <c r="K60" i="4"/>
  <c r="L60" i="4" s="1"/>
  <c r="K59" i="4"/>
  <c r="L59" i="4" s="1"/>
  <c r="K58" i="4"/>
  <c r="L58" i="4" s="1"/>
  <c r="K57" i="4"/>
  <c r="L57" i="4" s="1"/>
  <c r="K56" i="4"/>
  <c r="L56" i="4" s="1"/>
  <c r="K55" i="4"/>
  <c r="L55" i="4" s="1"/>
  <c r="K54" i="4"/>
  <c r="L54" i="4" s="1"/>
  <c r="K53" i="4"/>
  <c r="L53" i="4" s="1"/>
  <c r="K52" i="4"/>
  <c r="L52" i="4" s="1"/>
  <c r="K51" i="4"/>
  <c r="L51" i="4" s="1"/>
  <c r="K50" i="4"/>
  <c r="L50" i="4" s="1"/>
  <c r="K49" i="4"/>
  <c r="L49" i="4" s="1"/>
  <c r="K48" i="4"/>
  <c r="L48" i="4" s="1"/>
  <c r="K47" i="4"/>
  <c r="L47" i="4" s="1"/>
  <c r="K46" i="4"/>
  <c r="L46" i="4" s="1"/>
  <c r="K45" i="4"/>
  <c r="L45" i="4" s="1"/>
  <c r="E24" i="6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2" i="4"/>
  <c r="L12" i="4" s="1"/>
  <c r="K11" i="4"/>
  <c r="L11" i="4" s="1"/>
  <c r="K10" i="4"/>
  <c r="L10" i="4" s="1"/>
  <c r="K9" i="4"/>
  <c r="L9" i="4" s="1"/>
  <c r="E26" i="6" s="1"/>
  <c r="K8" i="4"/>
  <c r="L8" i="4" s="1"/>
  <c r="K7" i="4"/>
  <c r="L7" i="4" s="1"/>
  <c r="K6" i="4"/>
  <c r="L6" i="4" s="1"/>
  <c r="K5" i="4"/>
  <c r="L5" i="4" s="1"/>
  <c r="E22" i="6" s="1"/>
  <c r="K4" i="4"/>
  <c r="L4" i="4" s="1"/>
  <c r="K3" i="4"/>
  <c r="L3" i="4" s="1"/>
  <c r="K2" i="4"/>
  <c r="L2" i="4" s="1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B16" i="1" s="1"/>
  <c r="I8" i="3"/>
  <c r="B25" i="6" s="1"/>
  <c r="I7" i="3"/>
  <c r="B21" i="6" s="1"/>
  <c r="I6" i="3"/>
  <c r="I5" i="3"/>
  <c r="B10" i="1" s="1"/>
  <c r="I4" i="3"/>
  <c r="I3" i="3"/>
  <c r="B19" i="6" s="1"/>
  <c r="I2" i="3"/>
  <c r="B17" i="1"/>
  <c r="B12" i="1"/>
  <c r="B11" i="1"/>
  <c r="B8" i="1"/>
  <c r="B7" i="1"/>
  <c r="B5" i="1"/>
  <c r="L113" i="4" l="1"/>
  <c r="K113" i="4"/>
  <c r="B8" i="6"/>
  <c r="B28" i="1"/>
  <c r="B6" i="6" s="1"/>
  <c r="E21" i="6"/>
  <c r="E9" i="6"/>
  <c r="B47" i="6"/>
  <c r="B53" i="6"/>
  <c r="E15" i="6"/>
  <c r="B46" i="6"/>
  <c r="E23" i="6"/>
  <c r="B52" i="6"/>
  <c r="E14" i="6"/>
  <c r="E29" i="6"/>
  <c r="B20" i="6"/>
  <c r="B14" i="1"/>
  <c r="B18" i="6"/>
  <c r="B26" i="6" s="1"/>
  <c r="G7" i="6" l="1"/>
  <c r="G8" i="6" l="1"/>
  <c r="B31" i="1" l="1"/>
  <c r="G10" i="6" s="1"/>
  <c r="G9" i="6"/>
  <c r="E28" i="6"/>
  <c r="E34" i="6" s="1"/>
  <c r="E35" i="6" s="1"/>
  <c r="B54" i="6"/>
  <c r="E16" i="6" l="1"/>
  <c r="E17" i="6" s="1"/>
  <c r="B7" i="6" l="1"/>
  <c r="B9" i="6" s="1"/>
  <c r="B10" i="6" s="1"/>
  <c r="B11" i="6" s="1"/>
</calcChain>
</file>

<file path=xl/sharedStrings.xml><?xml version="1.0" encoding="utf-8"?>
<sst xmlns="http://schemas.openxmlformats.org/spreadsheetml/2006/main" count="1270" uniqueCount="176">
  <si>
    <t>APPROVED by KRIS</t>
  </si>
  <si>
    <t>Item</t>
  </si>
  <si>
    <t>Cost (Rs)</t>
  </si>
  <si>
    <t>Notes</t>
  </si>
  <si>
    <t>Creative Direction</t>
  </si>
  <si>
    <t>Creative Direction &amp; Event Concept</t>
  </si>
  <si>
    <t>Design</t>
  </si>
  <si>
    <t>Logo Design</t>
  </si>
  <si>
    <t>Derivatives- Flyer/Pattern/BG</t>
  </si>
  <si>
    <t>Stage &amp; Content</t>
  </si>
  <si>
    <t>CEO Keynote Presentation Design (incl. 100+ slides, graphics, storytelling)</t>
  </si>
  <si>
    <t>Speaker Presentations (x3)</t>
  </si>
  <si>
    <t>Screen / LED Content Management</t>
  </si>
  <si>
    <t>Sustenance</t>
  </si>
  <si>
    <t>Sustenance- Food, Drink, Fuel</t>
  </si>
  <si>
    <t>Visual Team (Talent Overseas) WOW Effect</t>
  </si>
  <si>
    <t>Backdrop Animation</t>
  </si>
  <si>
    <t>Walk-in &amp; Ambience Music</t>
  </si>
  <si>
    <t>Content Capture</t>
  </si>
  <si>
    <t>Video Coverage (2-cam setup + edits) + BTS + Same day Edit</t>
  </si>
  <si>
    <t>Photography</t>
  </si>
  <si>
    <t>Management &amp; Coordination</t>
  </si>
  <si>
    <t>Santral Art/Nico</t>
  </si>
  <si>
    <t>TBC / not priced</t>
  </si>
  <si>
    <t>Summary</t>
  </si>
  <si>
    <t>Subtotal</t>
  </si>
  <si>
    <t>DISCOUNT</t>
  </si>
  <si>
    <t>Subtotal - Discount</t>
  </si>
  <si>
    <t>Agency Fee (10%)</t>
  </si>
  <si>
    <t>Subtotal + Agency</t>
  </si>
  <si>
    <t>VAT (15%)</t>
  </si>
  <si>
    <t>TOTAL ESTIMATE</t>
  </si>
  <si>
    <t>Categories</t>
  </si>
  <si>
    <t>Expense Types</t>
  </si>
  <si>
    <t>Paid By</t>
  </si>
  <si>
    <t>Invoice Status</t>
  </si>
  <si>
    <t>Cash Status</t>
  </si>
  <si>
    <t>Freelance</t>
  </si>
  <si>
    <t>ë</t>
  </si>
  <si>
    <t>Draft</t>
  </si>
  <si>
    <t>Owed</t>
  </si>
  <si>
    <t>Supplier</t>
  </si>
  <si>
    <t>Avneesh</t>
  </si>
  <si>
    <t>Invoiced</t>
  </si>
  <si>
    <t>Reimbursed</t>
  </si>
  <si>
    <t>Video</t>
  </si>
  <si>
    <t>Cash</t>
  </si>
  <si>
    <t>Long</t>
  </si>
  <si>
    <t>Part-paid</t>
  </si>
  <si>
    <t>Settled/Net-off</t>
  </si>
  <si>
    <t>Tech/AV</t>
  </si>
  <si>
    <t>Card</t>
  </si>
  <si>
    <t>Williams</t>
  </si>
  <si>
    <t>Paid</t>
  </si>
  <si>
    <t>Scenography</t>
  </si>
  <si>
    <t>Bank Transfer</t>
  </si>
  <si>
    <t>Laura</t>
  </si>
  <si>
    <t>Production</t>
  </si>
  <si>
    <t>Internal Allocation</t>
  </si>
  <si>
    <t>Other</t>
  </si>
  <si>
    <t>Travel</t>
  </si>
  <si>
    <t>Harsh</t>
  </si>
  <si>
    <t>Food</t>
  </si>
  <si>
    <t>Kunal</t>
  </si>
  <si>
    <t>Transport</t>
  </si>
  <si>
    <t>Petty Cash</t>
  </si>
  <si>
    <t>Accommodation</t>
  </si>
  <si>
    <t>Printing</t>
  </si>
  <si>
    <t>Rentals</t>
  </si>
  <si>
    <t>Marketing/PR</t>
  </si>
  <si>
    <t>Admin</t>
  </si>
  <si>
    <t>Date Approved</t>
  </si>
  <si>
    <t>Project</t>
  </si>
  <si>
    <t>Client</t>
  </si>
  <si>
    <t>Item Code</t>
  </si>
  <si>
    <t>Item Description</t>
  </si>
  <si>
    <t>Category</t>
  </si>
  <si>
    <t>Qty</t>
  </si>
  <si>
    <t>Unit Price (Rs)</t>
  </si>
  <si>
    <t>Line Total (Rs)</t>
  </si>
  <si>
    <t>Approved By</t>
  </si>
  <si>
    <t>Invoice #</t>
  </si>
  <si>
    <t>Paid Date</t>
  </si>
  <si>
    <t>Mauritius Telecom Connect</t>
  </si>
  <si>
    <t>Mauritius Telecom</t>
  </si>
  <si>
    <t>MT-CON-01</t>
  </si>
  <si>
    <t>KRIS</t>
  </si>
  <si>
    <t>MT-CON-02</t>
  </si>
  <si>
    <t>MT-CON-03</t>
  </si>
  <si>
    <t>MT-CON-04</t>
  </si>
  <si>
    <t>MT-CON-05</t>
  </si>
  <si>
    <t>MT-CON-06</t>
  </si>
  <si>
    <t>MT-CON-07</t>
  </si>
  <si>
    <t>MT-CON-08</t>
  </si>
  <si>
    <t>MT-CON-09</t>
  </si>
  <si>
    <t>MT-CON-10</t>
  </si>
  <si>
    <t>MT-CON-11</t>
  </si>
  <si>
    <t>Date</t>
  </si>
  <si>
    <t>Description</t>
  </si>
  <si>
    <t>Supplier/Person</t>
  </si>
  <si>
    <t>Expense Type</t>
  </si>
  <si>
    <t>Amount (Rs)</t>
  </si>
  <si>
    <t>VAT Applicable</t>
  </si>
  <si>
    <t>VAT Rate</t>
  </si>
  <si>
    <t>VAT Amount (Rs)</t>
  </si>
  <si>
    <t>Receipt (Y/N)</t>
  </si>
  <si>
    <t>Accounting Status</t>
  </si>
  <si>
    <t>Reference/Receipt #</t>
  </si>
  <si>
    <t>Neil VIDEO</t>
  </si>
  <si>
    <t>No</t>
  </si>
  <si>
    <t>Pending</t>
  </si>
  <si>
    <t>David</t>
  </si>
  <si>
    <t>Dopeman</t>
  </si>
  <si>
    <t>Others</t>
  </si>
  <si>
    <t>Kevin</t>
  </si>
  <si>
    <t>Lakshraj – Video Trade Route</t>
  </si>
  <si>
    <t>Gloria</t>
  </si>
  <si>
    <t>Store</t>
  </si>
  <si>
    <t>Pizza + Menwar team at studio</t>
  </si>
  <si>
    <t>Source: Petty Cash OUT list</t>
  </si>
  <si>
    <t>Millions Burger</t>
  </si>
  <si>
    <t>Gato</t>
  </si>
  <si>
    <t>Carnet</t>
  </si>
  <si>
    <t>refund harsh food</t>
  </si>
  <si>
    <t>Groceries</t>
  </si>
  <si>
    <t>AI BANANA</t>
  </si>
  <si>
    <t>other</t>
  </si>
  <si>
    <t>Drink</t>
  </si>
  <si>
    <t>Food Eric</t>
  </si>
  <si>
    <t>Pendrive</t>
  </si>
  <si>
    <t>(unspecified)</t>
  </si>
  <si>
    <t>Fuel</t>
  </si>
  <si>
    <t>Source: Harsh fuel list</t>
  </si>
  <si>
    <t>Source: Kunal list</t>
  </si>
  <si>
    <t>Cig</t>
  </si>
  <si>
    <t>Drinks</t>
  </si>
  <si>
    <t>Source: Avneesh list</t>
  </si>
  <si>
    <t>Person</t>
  </si>
  <si>
    <t>Type</t>
  </si>
  <si>
    <t>Status</t>
  </si>
  <si>
    <t>Reimbursed Date</t>
  </si>
  <si>
    <t>Linked Expense Ref</t>
  </si>
  <si>
    <t>Fuel / Food / Misc</t>
  </si>
  <si>
    <t>Advance</t>
  </si>
  <si>
    <t>Food / Misc</t>
  </si>
  <si>
    <t>PROJECT FINANCIAL DASHBOARD (MUR)</t>
  </si>
  <si>
    <t>Project:</t>
  </si>
  <si>
    <t>Month (YYYY-MM):</t>
  </si>
  <si>
    <t>FINAL BREAKDOWN — Income vs Expenses, Who Paid What</t>
  </si>
  <si>
    <t>Total Income (Approved Quote)</t>
  </si>
  <si>
    <t>DISCOUNT (Kris)</t>
  </si>
  <si>
    <t>Total Expenses (Excl VAT)</t>
  </si>
  <si>
    <t>VAT on Expenses</t>
  </si>
  <si>
    <t>Income excl VAT</t>
  </si>
  <si>
    <t>Total Expenses (Incl VAT)</t>
  </si>
  <si>
    <t>VAT on Total Income</t>
  </si>
  <si>
    <t>Net Result (Income - Expenses incl VAT)</t>
  </si>
  <si>
    <t>Income incl VAT</t>
  </si>
  <si>
    <t>Gross Margin %</t>
  </si>
  <si>
    <t>Total Cash Owed (Advances not reimbursed)</t>
  </si>
  <si>
    <t>Total (Rs)</t>
  </si>
  <si>
    <t>(Tip) For detailed top-lines, sort the Expenses table by Total Incl VAT.</t>
  </si>
  <si>
    <t>INCOME BY CATEGORY</t>
  </si>
  <si>
    <t>TOTAL</t>
  </si>
  <si>
    <t>EXPENSES BY CATEGORY</t>
  </si>
  <si>
    <t>If any totals show blank, check the Project name matches exactly in Revenue/Expenses/Cash tables.</t>
  </si>
  <si>
    <t>How to use:</t>
  </si>
  <si>
    <t>1) Fill Revenue / Expenses / Cash tables.  2) Type the project name in Dashboard!B3 to see totals.</t>
  </si>
  <si>
    <t>Expenses by Paid By</t>
  </si>
  <si>
    <t>Tip: Fill Dashboard!B3 with the project name to refresh the resume (e.g. Mauritius Telecom Connect).</t>
  </si>
  <si>
    <t>Discount</t>
  </si>
  <si>
    <t>Sound Design</t>
  </si>
  <si>
    <t>Yes</t>
  </si>
  <si>
    <t>Total excl VAT (Rs)</t>
  </si>
  <si>
    <t>Subotal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</si>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</sst>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i/>
      <sz val="11"/>
      <color rgb="FF6B7280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F3F4F6"/>
      </patternFill>
    </fill>
    <fill>
      <patternFill patternType="solid">
        <fgColor rgb="FF111827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2"/>
  </cellStyleXfs>
  <cellXfs count="69">
    <xf numFmtId="0" fontId="0" fillId="0" borderId="0" xfId="0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3" borderId="1" xfId="0" applyFill="1" applyBorder="1"/>
    <xf numFmtId="0" fontId="1" fillId="3" borderId="1" xfId="0" applyFont="1" applyFill="1" applyBorder="1"/>
    <xf numFmtId="4" fontId="0" fillId="0" borderId="1" xfId="0" applyNumberFormat="1" applyBorder="1"/>
    <xf numFmtId="0" fontId="0" fillId="0" borderId="1" xfId="0" applyBorder="1"/>
    <xf numFmtId="4" fontId="2" fillId="2" borderId="1" xfId="0" applyNumberFormat="1" applyFont="1" applyFill="1" applyBorder="1" applyAlignment="1">
      <alignment horizontal="center" vertical="center" wrapText="1"/>
    </xf>
    <xf numFmtId="0" fontId="6" fillId="0" borderId="2" xfId="0" applyFont="1"/>
    <xf numFmtId="4" fontId="6" fillId="0" borderId="2" xfId="0" applyNumberFormat="1" applyFont="1"/>
    <xf numFmtId="4" fontId="6" fillId="0" borderId="1" xfId="0" applyNumberFormat="1" applyFont="1" applyBorder="1"/>
    <xf numFmtId="0" fontId="6" fillId="0" borderId="1" xfId="0" applyFont="1" applyBorder="1"/>
    <xf numFmtId="0" fontId="4" fillId="0" borderId="2" xfId="0" applyFont="1"/>
    <xf numFmtId="0" fontId="5" fillId="0" borderId="2" xfId="0" applyFont="1" applyAlignment="1">
      <alignment vertical="top" wrapText="1"/>
    </xf>
    <xf numFmtId="0" fontId="8" fillId="4" borderId="3" xfId="0" applyFont="1" applyFill="1" applyBorder="1"/>
    <xf numFmtId="4" fontId="6" fillId="0" borderId="3" xfId="0" applyNumberFormat="1" applyFont="1" applyBorder="1"/>
    <xf numFmtId="10" fontId="6" fillId="0" borderId="3" xfId="0" applyNumberFormat="1" applyFont="1" applyBorder="1"/>
    <xf numFmtId="4" fontId="0" fillId="0" borderId="3" xfId="0" applyNumberFormat="1" applyBorder="1"/>
    <xf numFmtId="4" fontId="8" fillId="4" borderId="3" xfId="0" applyNumberFormat="1" applyFont="1" applyFill="1" applyBorder="1"/>
    <xf numFmtId="4" fontId="2" fillId="2" borderId="3" xfId="0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10" fontId="9" fillId="0" borderId="4" xfId="0" applyNumberFormat="1" applyFont="1" applyBorder="1"/>
    <xf numFmtId="4" fontId="9" fillId="0" borderId="4" xfId="0" applyNumberFormat="1" applyFont="1" applyBorder="1"/>
    <xf numFmtId="4" fontId="9" fillId="0" borderId="3" xfId="0" applyNumberFormat="1" applyFont="1" applyBorder="1"/>
    <xf numFmtId="0" fontId="11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8" fillId="4" borderId="3" xfId="0" applyFont="1" applyFill="1" applyBorder="1" applyAlignment="1">
      <alignment vertical="top" wrapText="1"/>
    </xf>
    <xf numFmtId="0" fontId="0" fillId="0" borderId="3" xfId="0" applyBorder="1"/>
    <xf numFmtId="4" fontId="0" fillId="0" borderId="0" xfId="0" applyNumberFormat="1" applyBorder="1"/>
    <xf numFmtId="0" fontId="6" fillId="0" borderId="7" xfId="0" applyFont="1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2" xfId="0" applyFont="1"/>
    <xf numFmtId="0" fontId="8" fillId="4" borderId="3" xfId="0" applyFont="1" applyFill="1" applyBorder="1"/>
    <xf numFmtId="0" fontId="0" fillId="0" borderId="5" xfId="0" applyBorder="1"/>
    <xf numFmtId="0" fontId="0" fillId="0" borderId="6" xfId="0" applyBorder="1"/>
    <xf numFmtId="0" fontId="12" fillId="0" borderId="0" xfId="0" applyFont="1" applyBorder="1"/>
    <xf numFmtId="0" fontId="0" fillId="0" borderId="0" xfId="0" applyBorder="1"/>
    <xf numFmtId="0" fontId="10" fillId="0" borderId="0" xfId="0" applyFont="1" applyBorder="1"/>
    <xf numFmtId="0" fontId="7" fillId="0" borderId="2" xfId="0" applyFont="1"/>
    <xf numFmtId="0" fontId="5" fillId="0" borderId="2" xfId="0" applyFont="1" applyAlignment="1">
      <alignment wrapText="1"/>
    </xf>
    <xf numFmtId="0" fontId="6" fillId="0" borderId="2" xfId="0" applyFont="1" applyAlignment="1">
      <alignment vertical="top" wrapText="1"/>
    </xf>
    <xf numFmtId="0" fontId="0" fillId="0" borderId="2" xfId="0" applyAlignment="1">
      <alignment vertical="top" wrapText="1"/>
    </xf>
    <xf numFmtId="0" fontId="3" fillId="0" borderId="2" xfId="0" applyFont="1" applyAlignment="1">
      <alignment horizontal="left" vertical="center"/>
    </xf>
    <xf numFmtId="0" fontId="4" fillId="0" borderId="2" xfId="0" applyFont="1"/>
    <xf numFmtId="164" fontId="0" fillId="0" borderId="8" xfId="0" applyNumberFormat="1" applyBorder="1" applyAlignment="1">
      <alignment vertical="top" wrapText="1"/>
    </xf>
    <xf numFmtId="0" fontId="0" fillId="0" borderId="8" xfId="0" applyBorder="1" applyAlignment="1">
      <alignment vertical="top" wrapText="1"/>
    </xf>
    <xf numFmtId="4" fontId="0" fillId="0" borderId="8" xfId="0" applyNumberFormat="1" applyBorder="1" applyAlignment="1">
      <alignment vertical="top" wrapText="1"/>
    </xf>
    <xf numFmtId="164" fontId="0" fillId="0" borderId="9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4" fontId="0" fillId="0" borderId="9" xfId="0" applyNumberFormat="1" applyBorder="1" applyAlignment="1">
      <alignment vertical="top" wrapText="1"/>
    </xf>
    <xf numFmtId="0" fontId="13" fillId="0" borderId="11" xfId="0" applyFont="1" applyBorder="1" applyAlignment="1">
      <alignment vertical="top" wrapText="1"/>
    </xf>
    <xf numFmtId="4" fontId="13" fillId="0" borderId="11" xfId="0" applyNumberFormat="1" applyFont="1" applyBorder="1" applyAlignment="1">
      <alignment vertical="top" wrapText="1"/>
    </xf>
    <xf numFmtId="9" fontId="0" fillId="0" borderId="8" xfId="0" applyNumberFormat="1" applyBorder="1" applyAlignment="1">
      <alignment vertical="top" wrapText="1"/>
    </xf>
    <xf numFmtId="9" fontId="0" fillId="0" borderId="9" xfId="0" applyNumberFormat="1" applyBorder="1" applyAlignment="1">
      <alignment vertical="top" wrapText="1"/>
    </xf>
    <xf numFmtId="0" fontId="13" fillId="0" borderId="10" xfId="0" applyFont="1" applyBorder="1"/>
    <xf numFmtId="4" fontId="13" fillId="0" borderId="10" xfId="0" applyNumberFormat="1" applyFont="1" applyBorder="1"/>
    <xf numFmtId="9" fontId="13" fillId="0" borderId="11" xfId="0" applyNumberFormat="1" applyFont="1" applyBorder="1" applyAlignment="1">
      <alignment vertical="top" wrapText="1"/>
    </xf>
    <xf numFmtId="0" fontId="13" fillId="0" borderId="0" xfId="0" applyFont="1" applyBorder="1"/>
    <xf numFmtId="1" fontId="0" fillId="0" borderId="8" xfId="0" applyNumberFormat="1" applyBorder="1" applyAlignment="1">
      <alignment vertical="top" wrapText="1"/>
    </xf>
    <xf numFmtId="1" fontId="0" fillId="0" borderId="9" xfId="0" applyNumberFormat="1" applyBorder="1" applyAlignment="1">
      <alignment vertical="top" wrapText="1"/>
    </xf>
    <xf numFmtId="164" fontId="13" fillId="0" borderId="11" xfId="0" applyNumberFormat="1" applyFont="1" applyBorder="1" applyAlignment="1">
      <alignment vertical="top" wrapText="1"/>
    </xf>
    <xf numFmtId="1" fontId="13" fillId="0" borderId="1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venue" displayName="tblRevenue" ref="A1:N32">
  <autoFilter ref="A1:N32" xr:uid="{00000000-0009-0000-0100-000001000000}"/>
  <tableColumns count="14">
    <tableColumn id="1" xr3:uid="{00000000-0010-0000-0000-000001000000}" name="Date Approved"/>
    <tableColumn id="2" xr3:uid="{00000000-0010-0000-0000-000002000000}" name="Project"/>
    <tableColumn id="3" xr3:uid="{00000000-0010-0000-0000-000003000000}" name="Client"/>
    <tableColumn id="4" xr3:uid="{00000000-0010-0000-0000-000004000000}" name="Item Code"/>
    <tableColumn id="5" xr3:uid="{00000000-0010-0000-0000-000005000000}" name="Item Description"/>
    <tableColumn id="6" xr3:uid="{00000000-0010-0000-0000-000006000000}" name="Category"/>
    <tableColumn id="7" xr3:uid="{00000000-0010-0000-0000-000007000000}" name="Qty"/>
    <tableColumn id="8" xr3:uid="{00000000-0010-0000-0000-000008000000}" name="Unit Price (Rs)"/>
    <tableColumn id="9" xr3:uid="{00000000-0010-0000-0000-000009000000}" name="Line Total (Rs)"/>
    <tableColumn id="10" xr3:uid="{00000000-0010-0000-0000-00000A000000}" name="Approved By"/>
    <tableColumn id="11" xr3:uid="{00000000-0010-0000-0000-00000B000000}" name="Invoice Status"/>
    <tableColumn id="12" xr3:uid="{00000000-0010-0000-0000-00000C000000}" name="Invoice #"/>
    <tableColumn id="13" xr3:uid="{00000000-0010-0000-0000-00000D000000}" name="Paid Date"/>
    <tableColumn id="14" xr3:uid="{00000000-0010-0000-0000-00000E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xpenses" displayName="tblExpenses" ref="A1:P151">
  <autoFilter ref="A1:P151" xr:uid="{00000000-0009-0000-0100-000002000000}"/>
  <tableColumns count="16">
    <tableColumn id="1" xr3:uid="{00000000-0010-0000-0100-000001000000}" name="Date"/>
    <tableColumn id="2" xr3:uid="{00000000-0010-0000-0100-000002000000}" name="Project"/>
    <tableColumn id="3" xr3:uid="{00000000-0010-0000-0100-000003000000}" name="Description"/>
    <tableColumn id="4" xr3:uid="{00000000-0010-0000-0100-000004000000}" name="Category"/>
    <tableColumn id="5" xr3:uid="{00000000-0010-0000-0100-000005000000}" name="Supplier/Person"/>
    <tableColumn id="6" xr3:uid="{00000000-0010-0000-0100-000006000000}" name="Expense Type"/>
    <tableColumn id="7" xr3:uid="{00000000-0010-0000-0100-000007000000}" name="Amount (Rs)"/>
    <tableColumn id="8" xr3:uid="{00000000-0010-0000-0100-000008000000}" name="Paid By"/>
    <tableColumn id="9" xr3:uid="{00000000-0010-0000-0100-000009000000}" name="VAT Applicable"/>
    <tableColumn id="10" xr3:uid="{00000000-0010-0000-0100-00000A000000}" name="VAT Rate"/>
    <tableColumn id="11" xr3:uid="{00000000-0010-0000-0100-00000B000000}" name="VAT Amount (Rs)"/>
    <tableColumn id="12" xr3:uid="{00000000-0010-0000-0100-00000C000000}" name="Total excl VAT (Rs)"/>
    <tableColumn id="13" xr3:uid="{00000000-0010-0000-0100-00000D000000}" name="Receipt (Y/N)"/>
    <tableColumn id="14" xr3:uid="{00000000-0010-0000-0100-00000E000000}" name="Accounting Status"/>
    <tableColumn id="15" xr3:uid="{00000000-0010-0000-0100-00000F000000}" name="Reference/Receipt #"/>
    <tableColumn id="16" xr3:uid="{00000000-0010-0000-0100-000010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ash" displayName="tblCash" ref="A1:K14">
  <autoFilter ref="A1:K14" xr:uid="{00000000-0009-0000-0100-000003000000}"/>
  <tableColumns count="11">
    <tableColumn id="1" xr3:uid="{00000000-0010-0000-0200-000001000000}" name="Date"/>
    <tableColumn id="2" xr3:uid="{00000000-0010-0000-0200-000002000000}" name="Project"/>
    <tableColumn id="3" xr3:uid="{00000000-0010-0000-0200-000003000000}" name="Person"/>
    <tableColumn id="4" xr3:uid="{00000000-0010-0000-0200-000004000000}" name="Description"/>
    <tableColumn id="5" xr3:uid="{00000000-0010-0000-0200-000005000000}" name="Category"/>
    <tableColumn id="6" xr3:uid="{00000000-0010-0000-0200-000006000000}" name="Amount (Rs)"/>
    <tableColumn id="7" xr3:uid="{00000000-0010-0000-0200-000007000000}" name="Type"/>
    <tableColumn id="8" xr3:uid="{00000000-0010-0000-0200-000008000000}" name="Status"/>
    <tableColumn id="9" xr3:uid="{00000000-0010-0000-0200-000009000000}" name="Reimbursed Date"/>
    <tableColumn id="10" xr3:uid="{00000000-0010-0000-0200-00000A000000}" name="Linked Expense Ref"/>
    <tableColumn id="11" xr3:uid="{00000000-0010-0000-0200-00000B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pane ySplit="3" topLeftCell="A8" activePane="bottomLeft" state="frozen"/>
      <selection pane="bottomLeft" activeCell="B31" sqref="B31"/>
    </sheetView>
  </sheetViews>
  <sheetFormatPr baseColWidth="10" defaultColWidth="8.83203125" defaultRowHeight="15" x14ac:dyDescent="0.2"/>
  <cols>
    <col min="1" max="1" width="55" customWidth="1"/>
    <col min="2" max="2" width="18" customWidth="1"/>
    <col min="3" max="3" width="24" style="37" customWidth="1"/>
    <col min="4" max="4" width="2" customWidth="1"/>
    <col min="5" max="5" width="11.6640625" bestFit="1" customWidth="1"/>
  </cols>
  <sheetData>
    <row r="1" spans="1:4" ht="19" x14ac:dyDescent="0.25">
      <c r="A1" s="44" t="s">
        <v>0</v>
      </c>
      <c r="B1" s="43"/>
      <c r="C1" s="43"/>
      <c r="D1" s="43"/>
    </row>
    <row r="3" spans="1:4" ht="16" x14ac:dyDescent="0.2">
      <c r="A3" s="29" t="s">
        <v>1</v>
      </c>
      <c r="B3" s="29" t="s">
        <v>2</v>
      </c>
      <c r="C3" s="29" t="s">
        <v>3</v>
      </c>
    </row>
    <row r="4" spans="1:4" x14ac:dyDescent="0.2">
      <c r="A4" s="39" t="s">
        <v>4</v>
      </c>
      <c r="B4" s="40"/>
      <c r="C4" s="41"/>
    </row>
    <row r="5" spans="1:4" ht="16" x14ac:dyDescent="0.2">
      <c r="A5" s="30" t="s">
        <v>5</v>
      </c>
      <c r="B5" s="22">
        <f>Revenue!I2</f>
        <v>300000</v>
      </c>
      <c r="C5" s="35"/>
    </row>
    <row r="6" spans="1:4" x14ac:dyDescent="0.2">
      <c r="A6" s="39" t="s">
        <v>6</v>
      </c>
      <c r="B6" s="40"/>
      <c r="C6" s="41"/>
    </row>
    <row r="7" spans="1:4" ht="16" x14ac:dyDescent="0.2">
      <c r="A7" s="30" t="s">
        <v>7</v>
      </c>
      <c r="B7" s="22">
        <f>Revenue!I3</f>
        <v>90000</v>
      </c>
      <c r="C7" s="35"/>
    </row>
    <row r="8" spans="1:4" ht="16" x14ac:dyDescent="0.2">
      <c r="A8" s="30" t="s">
        <v>8</v>
      </c>
      <c r="B8" s="22">
        <f>Revenue!I4</f>
        <v>70000</v>
      </c>
      <c r="C8" s="35"/>
    </row>
    <row r="9" spans="1:4" x14ac:dyDescent="0.2">
      <c r="A9" s="39" t="s">
        <v>9</v>
      </c>
      <c r="B9" s="40"/>
      <c r="C9" s="41"/>
    </row>
    <row r="10" spans="1:4" ht="32" x14ac:dyDescent="0.2">
      <c r="A10" s="30" t="s">
        <v>10</v>
      </c>
      <c r="B10" s="22">
        <f>Revenue!I5</f>
        <v>275000</v>
      </c>
      <c r="C10" s="35"/>
    </row>
    <row r="11" spans="1:4" ht="16" x14ac:dyDescent="0.2">
      <c r="A11" s="30" t="s">
        <v>11</v>
      </c>
      <c r="B11" s="22">
        <f>Revenue!I6</f>
        <v>90000</v>
      </c>
      <c r="C11" s="35"/>
    </row>
    <row r="12" spans="1:4" ht="16" x14ac:dyDescent="0.2">
      <c r="A12" s="30" t="s">
        <v>12</v>
      </c>
      <c r="B12" s="22">
        <f>Revenue!I7</f>
        <v>70000</v>
      </c>
      <c r="C12" s="35"/>
    </row>
    <row r="13" spans="1:4" x14ac:dyDescent="0.2">
      <c r="A13" s="39" t="s">
        <v>13</v>
      </c>
      <c r="B13" s="40"/>
      <c r="C13" s="41"/>
    </row>
    <row r="14" spans="1:4" ht="16" x14ac:dyDescent="0.2">
      <c r="A14" s="30" t="s">
        <v>14</v>
      </c>
      <c r="B14" s="22">
        <f>Revenue!I8</f>
        <v>120000</v>
      </c>
      <c r="C14" s="35"/>
    </row>
    <row r="15" spans="1:4" x14ac:dyDescent="0.2">
      <c r="A15" s="39" t="s">
        <v>15</v>
      </c>
      <c r="B15" s="40"/>
      <c r="C15" s="41"/>
    </row>
    <row r="16" spans="1:4" ht="16" x14ac:dyDescent="0.2">
      <c r="A16" s="30" t="s">
        <v>16</v>
      </c>
      <c r="B16" s="22">
        <f>Revenue!I9</f>
        <v>100000</v>
      </c>
      <c r="C16" s="35"/>
    </row>
    <row r="17" spans="1:3" ht="16" x14ac:dyDescent="0.2">
      <c r="A17" s="30" t="s">
        <v>17</v>
      </c>
      <c r="B17" s="22">
        <f>Revenue!I10</f>
        <v>100000</v>
      </c>
      <c r="C17" s="35"/>
    </row>
    <row r="18" spans="1:3" x14ac:dyDescent="0.2">
      <c r="A18" s="39" t="s">
        <v>18</v>
      </c>
      <c r="B18" s="40"/>
      <c r="C18" s="41"/>
    </row>
    <row r="19" spans="1:3" ht="16" x14ac:dyDescent="0.2">
      <c r="A19" s="30" t="s">
        <v>19</v>
      </c>
      <c r="B19" s="22">
        <f>Revenue!I11</f>
        <v>220000</v>
      </c>
      <c r="C19" s="35"/>
    </row>
    <row r="20" spans="1:3" ht="16" x14ac:dyDescent="0.2">
      <c r="A20" s="30" t="s">
        <v>20</v>
      </c>
      <c r="B20" s="22">
        <v>100000</v>
      </c>
      <c r="C20" s="35"/>
    </row>
    <row r="21" spans="1:3" x14ac:dyDescent="0.2">
      <c r="A21" s="39" t="s">
        <v>21</v>
      </c>
      <c r="B21" s="40"/>
      <c r="C21" s="41"/>
    </row>
    <row r="22" spans="1:3" ht="16" x14ac:dyDescent="0.2">
      <c r="A22" s="30" t="s">
        <v>22</v>
      </c>
      <c r="B22" s="22"/>
      <c r="C22" s="35" t="s">
        <v>23</v>
      </c>
    </row>
    <row r="24" spans="1:3" ht="16" x14ac:dyDescent="0.2">
      <c r="A24" s="42" t="s">
        <v>24</v>
      </c>
      <c r="B24" s="43"/>
      <c r="C24" s="43"/>
    </row>
    <row r="25" spans="1:3" ht="16" x14ac:dyDescent="0.2">
      <c r="A25" s="31" t="s">
        <v>25</v>
      </c>
      <c r="B25" s="33">
        <f>SUM(B5:B20)</f>
        <v>1535000</v>
      </c>
      <c r="C25" s="35"/>
    </row>
    <row r="26" spans="1:3" ht="16" x14ac:dyDescent="0.2">
      <c r="A26" s="31" t="s">
        <v>26</v>
      </c>
      <c r="B26" s="22">
        <v>80000</v>
      </c>
      <c r="C26" s="35"/>
    </row>
    <row r="27" spans="1:3" ht="16" x14ac:dyDescent="0.2">
      <c r="A27" s="31" t="s">
        <v>27</v>
      </c>
      <c r="B27" s="22">
        <f>B25-B26</f>
        <v>1455000</v>
      </c>
      <c r="C27" s="35"/>
    </row>
    <row r="28" spans="1:3" ht="16" x14ac:dyDescent="0.2">
      <c r="A28" s="31" t="s">
        <v>28</v>
      </c>
      <c r="B28" s="22">
        <f>B27*0.1</f>
        <v>145500</v>
      </c>
      <c r="C28" s="35"/>
    </row>
    <row r="29" spans="1:3" ht="16" x14ac:dyDescent="0.2">
      <c r="A29" s="31" t="s">
        <v>29</v>
      </c>
      <c r="B29" s="22">
        <f>B28+B27</f>
        <v>1600500</v>
      </c>
      <c r="C29" s="35"/>
    </row>
    <row r="30" spans="1:3" ht="16" x14ac:dyDescent="0.2">
      <c r="A30" s="31" t="s">
        <v>30</v>
      </c>
      <c r="B30" s="22">
        <f>B29*0.15</f>
        <v>240075</v>
      </c>
      <c r="C30" s="35"/>
    </row>
    <row r="31" spans="1:3" ht="16" x14ac:dyDescent="0.2">
      <c r="A31" s="31" t="s">
        <v>31</v>
      </c>
      <c r="B31" s="22">
        <f>B30+B29</f>
        <v>1840575</v>
      </c>
      <c r="C31" s="35"/>
    </row>
    <row r="32" spans="1:3" x14ac:dyDescent="0.2">
      <c r="A32" s="19"/>
      <c r="B32" s="32"/>
      <c r="C32" s="36"/>
    </row>
  </sheetData>
  <mergeCells count="9">
    <mergeCell ref="A21:C21"/>
    <mergeCell ref="A15:C15"/>
    <mergeCell ref="A4:C4"/>
    <mergeCell ref="A24:C24"/>
    <mergeCell ref="A1:D1"/>
    <mergeCell ref="A13:C13"/>
    <mergeCell ref="A6:C6"/>
    <mergeCell ref="A9:C9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24" customWidth="1"/>
    <col min="2" max="2" width="3" customWidth="1"/>
    <col min="3" max="3" width="20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9" width="18" customWidth="1"/>
  </cols>
  <sheetData>
    <row r="1" spans="1:9" x14ac:dyDescent="0.2">
      <c r="A1" s="1" t="s">
        <v>32</v>
      </c>
      <c r="C1" s="1" t="s">
        <v>33</v>
      </c>
      <c r="E1" s="1" t="s">
        <v>34</v>
      </c>
      <c r="G1" s="1" t="s">
        <v>35</v>
      </c>
      <c r="I1" s="1" t="s">
        <v>36</v>
      </c>
    </row>
    <row r="2" spans="1:9" x14ac:dyDescent="0.2">
      <c r="A2" t="s">
        <v>4</v>
      </c>
      <c r="C2" t="s">
        <v>37</v>
      </c>
      <c r="E2" t="s">
        <v>38</v>
      </c>
      <c r="G2" t="s">
        <v>39</v>
      </c>
      <c r="I2" t="s">
        <v>40</v>
      </c>
    </row>
    <row r="3" spans="1:9" x14ac:dyDescent="0.2">
      <c r="A3" t="s">
        <v>6</v>
      </c>
      <c r="C3" t="s">
        <v>41</v>
      </c>
      <c r="E3" t="s">
        <v>42</v>
      </c>
      <c r="G3" t="s">
        <v>43</v>
      </c>
      <c r="I3" t="s">
        <v>44</v>
      </c>
    </row>
    <row r="4" spans="1:9" x14ac:dyDescent="0.2">
      <c r="A4" t="s">
        <v>45</v>
      </c>
      <c r="C4" t="s">
        <v>46</v>
      </c>
      <c r="E4" t="s">
        <v>47</v>
      </c>
      <c r="G4" t="s">
        <v>48</v>
      </c>
      <c r="I4" t="s">
        <v>49</v>
      </c>
    </row>
    <row r="5" spans="1:9" x14ac:dyDescent="0.2">
      <c r="A5" t="s">
        <v>50</v>
      </c>
      <c r="C5" t="s">
        <v>51</v>
      </c>
      <c r="E5" t="s">
        <v>52</v>
      </c>
      <c r="G5" t="s">
        <v>53</v>
      </c>
    </row>
    <row r="6" spans="1:9" x14ac:dyDescent="0.2">
      <c r="A6" t="s">
        <v>54</v>
      </c>
      <c r="C6" t="s">
        <v>55</v>
      </c>
      <c r="E6" t="s">
        <v>56</v>
      </c>
    </row>
    <row r="7" spans="1:9" x14ac:dyDescent="0.2">
      <c r="A7" t="s">
        <v>171</v>
      </c>
      <c r="C7" t="s">
        <v>58</v>
      </c>
      <c r="E7" t="s">
        <v>59</v>
      </c>
    </row>
    <row r="8" spans="1:9" x14ac:dyDescent="0.2">
      <c r="A8" t="s">
        <v>60</v>
      </c>
      <c r="C8" t="s">
        <v>59</v>
      </c>
      <c r="E8" t="s">
        <v>61</v>
      </c>
    </row>
    <row r="9" spans="1:9" x14ac:dyDescent="0.2">
      <c r="A9" t="s">
        <v>62</v>
      </c>
      <c r="E9" t="s">
        <v>63</v>
      </c>
    </row>
    <row r="10" spans="1:9" x14ac:dyDescent="0.2">
      <c r="A10" t="s">
        <v>64</v>
      </c>
      <c r="E10" t="s">
        <v>65</v>
      </c>
    </row>
    <row r="11" spans="1:9" x14ac:dyDescent="0.2">
      <c r="A11" t="s">
        <v>66</v>
      </c>
    </row>
    <row r="12" spans="1:9" x14ac:dyDescent="0.2">
      <c r="A12" t="s">
        <v>67</v>
      </c>
    </row>
    <row r="13" spans="1:9" x14ac:dyDescent="0.2">
      <c r="A13" t="s">
        <v>68</v>
      </c>
    </row>
    <row r="14" spans="1:9" x14ac:dyDescent="0.2">
      <c r="A14" t="s">
        <v>69</v>
      </c>
    </row>
    <row r="15" spans="1:9" x14ac:dyDescent="0.2">
      <c r="A15" t="s">
        <v>70</v>
      </c>
    </row>
    <row r="16" spans="1:9" x14ac:dyDescent="0.2">
      <c r="A16" t="s">
        <v>59</v>
      </c>
    </row>
    <row r="17" spans="1:1" x14ac:dyDescent="0.2">
      <c r="A17" t="s">
        <v>57</v>
      </c>
    </row>
    <row r="18" spans="1:1" x14ac:dyDescent="0.2">
      <c r="A18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tabSelected="1" workbookViewId="0">
      <pane ySplit="1" topLeftCell="A4" activePane="bottomLeft" state="frozen"/>
      <selection pane="bottomLeft" activeCell="A14" sqref="A14:N14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0" customWidth="1"/>
    <col min="4" max="4" width="12" customWidth="1"/>
    <col min="5" max="5" width="40" customWidth="1"/>
    <col min="6" max="6" width="18" customWidth="1"/>
    <col min="7" max="7" width="6" customWidth="1"/>
    <col min="8" max="9" width="16" customWidth="1"/>
    <col min="10" max="11" width="14" customWidth="1"/>
    <col min="12" max="13" width="12" customWidth="1"/>
    <col min="14" max="14" width="30" customWidth="1"/>
  </cols>
  <sheetData>
    <row r="1" spans="1:14" ht="16" customHeight="1" x14ac:dyDescent="0.2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35</v>
      </c>
      <c r="L1" s="2" t="s">
        <v>81</v>
      </c>
      <c r="M1" s="2" t="s">
        <v>82</v>
      </c>
      <c r="N1" s="2" t="s">
        <v>3</v>
      </c>
    </row>
    <row r="2" spans="1:14" ht="32" customHeight="1" x14ac:dyDescent="0.2">
      <c r="A2" s="3"/>
      <c r="B2" s="4" t="s">
        <v>83</v>
      </c>
      <c r="C2" s="4" t="s">
        <v>84</v>
      </c>
      <c r="D2" s="4" t="s">
        <v>85</v>
      </c>
      <c r="E2" s="4" t="s">
        <v>5</v>
      </c>
      <c r="F2" s="4" t="s">
        <v>4</v>
      </c>
      <c r="G2" s="5">
        <v>1</v>
      </c>
      <c r="H2" s="6">
        <v>300000</v>
      </c>
      <c r="I2" s="6">
        <f t="shared" ref="I2:I32" si="0">IF(OR(G2="",H2=""),"",G2*H2)</f>
        <v>300000</v>
      </c>
      <c r="J2" s="4" t="s">
        <v>86</v>
      </c>
      <c r="K2" s="4" t="s">
        <v>39</v>
      </c>
      <c r="L2" s="4"/>
      <c r="M2" s="3"/>
      <c r="N2" s="4"/>
    </row>
    <row r="3" spans="1:14" ht="32" customHeight="1" x14ac:dyDescent="0.2">
      <c r="A3" s="3"/>
      <c r="B3" s="4" t="s">
        <v>83</v>
      </c>
      <c r="C3" s="4" t="s">
        <v>84</v>
      </c>
      <c r="D3" s="4" t="s">
        <v>87</v>
      </c>
      <c r="E3" s="4" t="s">
        <v>7</v>
      </c>
      <c r="F3" s="4" t="s">
        <v>6</v>
      </c>
      <c r="G3" s="5">
        <v>1</v>
      </c>
      <c r="H3" s="6">
        <v>90000</v>
      </c>
      <c r="I3" s="6">
        <f t="shared" si="0"/>
        <v>90000</v>
      </c>
      <c r="J3" s="4" t="s">
        <v>86</v>
      </c>
      <c r="K3" s="4" t="s">
        <v>39</v>
      </c>
      <c r="L3" s="4"/>
      <c r="M3" s="3"/>
      <c r="N3" s="4"/>
    </row>
    <row r="4" spans="1:14" ht="32" customHeight="1" x14ac:dyDescent="0.2">
      <c r="A4" s="3"/>
      <c r="B4" s="4" t="s">
        <v>83</v>
      </c>
      <c r="C4" s="4" t="s">
        <v>84</v>
      </c>
      <c r="D4" s="4" t="s">
        <v>88</v>
      </c>
      <c r="E4" s="4" t="s">
        <v>8</v>
      </c>
      <c r="F4" s="4" t="s">
        <v>6</v>
      </c>
      <c r="G4" s="5">
        <v>1</v>
      </c>
      <c r="H4" s="6">
        <v>70000</v>
      </c>
      <c r="I4" s="6">
        <f t="shared" si="0"/>
        <v>70000</v>
      </c>
      <c r="J4" s="4" t="s">
        <v>86</v>
      </c>
      <c r="K4" s="4" t="s">
        <v>39</v>
      </c>
      <c r="L4" s="4"/>
      <c r="M4" s="3"/>
      <c r="N4" s="4"/>
    </row>
    <row r="5" spans="1:14" ht="32" customHeight="1" x14ac:dyDescent="0.2">
      <c r="A5" s="3"/>
      <c r="B5" s="4" t="s">
        <v>83</v>
      </c>
      <c r="C5" s="4" t="s">
        <v>84</v>
      </c>
      <c r="D5" s="4" t="s">
        <v>89</v>
      </c>
      <c r="E5" s="4" t="s">
        <v>10</v>
      </c>
      <c r="F5" s="4" t="s">
        <v>6</v>
      </c>
      <c r="G5" s="5">
        <v>1</v>
      </c>
      <c r="H5" s="6">
        <v>275000</v>
      </c>
      <c r="I5" s="6">
        <f t="shared" si="0"/>
        <v>275000</v>
      </c>
      <c r="J5" s="4" t="s">
        <v>86</v>
      </c>
      <c r="K5" s="4" t="s">
        <v>39</v>
      </c>
      <c r="L5" s="4"/>
      <c r="M5" s="3"/>
      <c r="N5" s="4"/>
    </row>
    <row r="6" spans="1:14" ht="32" customHeight="1" x14ac:dyDescent="0.2">
      <c r="A6" s="3"/>
      <c r="B6" s="4" t="s">
        <v>83</v>
      </c>
      <c r="C6" s="4" t="s">
        <v>84</v>
      </c>
      <c r="D6" s="4" t="s">
        <v>90</v>
      </c>
      <c r="E6" s="4" t="s">
        <v>11</v>
      </c>
      <c r="F6" s="4" t="s">
        <v>6</v>
      </c>
      <c r="G6" s="5">
        <v>1</v>
      </c>
      <c r="H6" s="6">
        <v>90000</v>
      </c>
      <c r="I6" s="6">
        <f t="shared" si="0"/>
        <v>90000</v>
      </c>
      <c r="J6" s="4" t="s">
        <v>86</v>
      </c>
      <c r="K6" s="4" t="s">
        <v>39</v>
      </c>
      <c r="L6" s="4"/>
      <c r="M6" s="3"/>
      <c r="N6" s="4"/>
    </row>
    <row r="7" spans="1:14" ht="32" customHeight="1" x14ac:dyDescent="0.2">
      <c r="A7" s="3"/>
      <c r="B7" s="4" t="s">
        <v>83</v>
      </c>
      <c r="C7" s="4" t="s">
        <v>84</v>
      </c>
      <c r="D7" s="4" t="s">
        <v>91</v>
      </c>
      <c r="E7" s="4" t="s">
        <v>12</v>
      </c>
      <c r="F7" s="4" t="s">
        <v>50</v>
      </c>
      <c r="G7" s="5">
        <v>1</v>
      </c>
      <c r="H7" s="6">
        <v>70000</v>
      </c>
      <c r="I7" s="6">
        <f t="shared" si="0"/>
        <v>70000</v>
      </c>
      <c r="J7" s="4" t="s">
        <v>86</v>
      </c>
      <c r="K7" s="4" t="s">
        <v>39</v>
      </c>
      <c r="L7" s="4"/>
      <c r="M7" s="3"/>
      <c r="N7" s="4"/>
    </row>
    <row r="8" spans="1:14" ht="32" customHeight="1" x14ac:dyDescent="0.2">
      <c r="A8" s="3"/>
      <c r="B8" s="4" t="s">
        <v>83</v>
      </c>
      <c r="C8" s="4" t="s">
        <v>84</v>
      </c>
      <c r="D8" s="4" t="s">
        <v>92</v>
      </c>
      <c r="E8" s="4" t="s">
        <v>14</v>
      </c>
      <c r="F8" s="4" t="s">
        <v>62</v>
      </c>
      <c r="G8" s="5">
        <v>1</v>
      </c>
      <c r="H8" s="6">
        <v>120000</v>
      </c>
      <c r="I8" s="6">
        <f t="shared" si="0"/>
        <v>120000</v>
      </c>
      <c r="J8" s="4" t="s">
        <v>86</v>
      </c>
      <c r="K8" s="4" t="s">
        <v>39</v>
      </c>
      <c r="L8" s="4"/>
      <c r="M8" s="3"/>
      <c r="N8" s="4"/>
    </row>
    <row r="9" spans="1:14" ht="32" customHeight="1" x14ac:dyDescent="0.2">
      <c r="A9" s="3"/>
      <c r="B9" s="4" t="s">
        <v>83</v>
      </c>
      <c r="C9" s="4" t="s">
        <v>84</v>
      </c>
      <c r="D9" s="4" t="s">
        <v>93</v>
      </c>
      <c r="E9" s="4" t="s">
        <v>16</v>
      </c>
      <c r="F9" s="4" t="s">
        <v>45</v>
      </c>
      <c r="G9" s="5">
        <v>1</v>
      </c>
      <c r="H9" s="6">
        <v>100000</v>
      </c>
      <c r="I9" s="6">
        <f t="shared" si="0"/>
        <v>100000</v>
      </c>
      <c r="J9" s="4" t="s">
        <v>86</v>
      </c>
      <c r="K9" s="4" t="s">
        <v>39</v>
      </c>
      <c r="L9" s="4"/>
      <c r="M9" s="3"/>
      <c r="N9" s="4"/>
    </row>
    <row r="10" spans="1:14" ht="32" customHeight="1" x14ac:dyDescent="0.2">
      <c r="A10" s="3"/>
      <c r="B10" s="4" t="s">
        <v>83</v>
      </c>
      <c r="C10" s="4" t="s">
        <v>84</v>
      </c>
      <c r="D10" s="4" t="s">
        <v>94</v>
      </c>
      <c r="E10" s="4" t="s">
        <v>17</v>
      </c>
      <c r="F10" s="4" t="s">
        <v>57</v>
      </c>
      <c r="G10" s="5">
        <v>1</v>
      </c>
      <c r="H10" s="6">
        <v>100000</v>
      </c>
      <c r="I10" s="6">
        <f t="shared" si="0"/>
        <v>100000</v>
      </c>
      <c r="J10" s="4" t="s">
        <v>86</v>
      </c>
      <c r="K10" s="4" t="s">
        <v>39</v>
      </c>
      <c r="L10" s="4"/>
      <c r="M10" s="3"/>
      <c r="N10" s="4"/>
    </row>
    <row r="11" spans="1:14" ht="32" customHeight="1" x14ac:dyDescent="0.2">
      <c r="A11" s="3"/>
      <c r="B11" s="4" t="s">
        <v>83</v>
      </c>
      <c r="C11" s="4" t="s">
        <v>84</v>
      </c>
      <c r="D11" s="4" t="s">
        <v>95</v>
      </c>
      <c r="E11" s="4" t="s">
        <v>19</v>
      </c>
      <c r="F11" s="4" t="s">
        <v>45</v>
      </c>
      <c r="G11" s="5">
        <v>1</v>
      </c>
      <c r="H11" s="6">
        <v>220000</v>
      </c>
      <c r="I11" s="6">
        <f t="shared" si="0"/>
        <v>220000</v>
      </c>
      <c r="J11" s="4" t="s">
        <v>86</v>
      </c>
      <c r="K11" s="4" t="s">
        <v>39</v>
      </c>
      <c r="L11" s="4"/>
      <c r="M11" s="3"/>
      <c r="N11" s="4"/>
    </row>
    <row r="12" spans="1:14" ht="32" customHeight="1" x14ac:dyDescent="0.2">
      <c r="A12" s="3"/>
      <c r="B12" s="4" t="s">
        <v>83</v>
      </c>
      <c r="C12" s="4" t="s">
        <v>84</v>
      </c>
      <c r="D12" s="4" t="s">
        <v>96</v>
      </c>
      <c r="E12" s="4" t="s">
        <v>20</v>
      </c>
      <c r="F12" s="4" t="s">
        <v>20</v>
      </c>
      <c r="G12" s="5">
        <v>1</v>
      </c>
      <c r="H12" s="6">
        <v>100000</v>
      </c>
      <c r="I12" s="6">
        <f t="shared" si="0"/>
        <v>100000</v>
      </c>
      <c r="J12" s="4" t="s">
        <v>86</v>
      </c>
      <c r="K12" s="4" t="s">
        <v>39</v>
      </c>
      <c r="L12" s="4"/>
      <c r="M12" s="3"/>
      <c r="N12" s="4"/>
    </row>
    <row r="13" spans="1:14" ht="16" customHeight="1" x14ac:dyDescent="0.2">
      <c r="A13" s="51"/>
      <c r="B13" s="52"/>
      <c r="C13" s="52"/>
      <c r="D13" s="52"/>
      <c r="E13" s="52"/>
      <c r="F13" s="52"/>
      <c r="G13" s="65">
        <v>1</v>
      </c>
      <c r="H13" s="53"/>
      <c r="I13" s="53" t="str">
        <f t="shared" si="0"/>
        <v/>
      </c>
      <c r="J13" s="52"/>
      <c r="K13" s="52"/>
      <c r="L13" s="52"/>
      <c r="M13" s="51"/>
      <c r="N13" s="52"/>
    </row>
    <row r="14" spans="1:14" ht="16" customHeight="1" thickBot="1" x14ac:dyDescent="0.25">
      <c r="A14" s="67" t="s">
        <v>163</v>
      </c>
      <c r="B14" s="57"/>
      <c r="C14" s="57"/>
      <c r="D14" s="57"/>
      <c r="E14" s="57"/>
      <c r="F14" s="57"/>
      <c r="G14" s="68">
        <v>1</v>
      </c>
      <c r="H14" s="58"/>
      <c r="I14" s="58" t="str">
        <f t="shared" si="0"/>
        <v/>
      </c>
      <c r="J14" s="57"/>
      <c r="K14" s="57"/>
      <c r="L14" s="57"/>
      <c r="M14" s="67"/>
      <c r="N14" s="57"/>
    </row>
    <row r="15" spans="1:14" ht="16" customHeight="1" thickTop="1" x14ac:dyDescent="0.2">
      <c r="A15" s="54"/>
      <c r="B15" s="55"/>
      <c r="C15" s="55"/>
      <c r="D15" s="55"/>
      <c r="E15" s="55"/>
      <c r="F15" s="55"/>
      <c r="G15" s="66">
        <v>1</v>
      </c>
      <c r="H15" s="56"/>
      <c r="I15" s="56" t="str">
        <f t="shared" si="0"/>
        <v/>
      </c>
      <c r="J15" s="55"/>
      <c r="K15" s="55"/>
      <c r="L15" s="55"/>
      <c r="M15" s="54"/>
      <c r="N15" s="55"/>
    </row>
    <row r="16" spans="1:14" ht="16" customHeight="1" x14ac:dyDescent="0.2">
      <c r="A16" s="3"/>
      <c r="B16" s="4"/>
      <c r="C16" s="4"/>
      <c r="D16" s="4"/>
      <c r="E16" s="4"/>
      <c r="F16" s="4"/>
      <c r="G16" s="5">
        <v>1</v>
      </c>
      <c r="H16" s="6"/>
      <c r="I16" s="6" t="str">
        <f t="shared" si="0"/>
        <v/>
      </c>
      <c r="J16" s="4"/>
      <c r="K16" s="4"/>
      <c r="L16" s="4"/>
      <c r="M16" s="3"/>
      <c r="N16" s="4"/>
    </row>
    <row r="17" spans="1:14" ht="16" customHeight="1" x14ac:dyDescent="0.2">
      <c r="A17" s="3"/>
      <c r="B17" s="4"/>
      <c r="C17" s="4"/>
      <c r="D17" s="4"/>
      <c r="E17" s="4"/>
      <c r="F17" s="4"/>
      <c r="G17" s="5">
        <v>1</v>
      </c>
      <c r="H17" s="6"/>
      <c r="I17" s="6" t="str">
        <f t="shared" si="0"/>
        <v/>
      </c>
      <c r="J17" s="4"/>
      <c r="K17" s="4"/>
      <c r="L17" s="4"/>
      <c r="M17" s="3"/>
      <c r="N17" s="4"/>
    </row>
    <row r="18" spans="1:14" ht="16" customHeight="1" x14ac:dyDescent="0.2">
      <c r="A18" s="3"/>
      <c r="B18" s="4"/>
      <c r="C18" s="4"/>
      <c r="D18" s="4"/>
      <c r="E18" s="4"/>
      <c r="F18" s="4"/>
      <c r="G18" s="5">
        <v>1</v>
      </c>
      <c r="H18" s="6"/>
      <c r="I18" s="6" t="str">
        <f t="shared" si="0"/>
        <v/>
      </c>
      <c r="J18" s="4"/>
      <c r="K18" s="4"/>
      <c r="L18" s="4"/>
      <c r="M18" s="3"/>
      <c r="N18" s="4"/>
    </row>
    <row r="19" spans="1:14" ht="16" customHeight="1" x14ac:dyDescent="0.2">
      <c r="A19" s="3"/>
      <c r="B19" s="4"/>
      <c r="C19" s="4"/>
      <c r="D19" s="4"/>
      <c r="E19" s="4"/>
      <c r="F19" s="4"/>
      <c r="G19" s="5">
        <v>1</v>
      </c>
      <c r="H19" s="6"/>
      <c r="I19" s="6" t="str">
        <f t="shared" si="0"/>
        <v/>
      </c>
      <c r="J19" s="4"/>
      <c r="K19" s="4"/>
      <c r="L19" s="4"/>
      <c r="M19" s="3"/>
      <c r="N19" s="4"/>
    </row>
    <row r="20" spans="1:14" ht="16" customHeight="1" x14ac:dyDescent="0.2">
      <c r="A20" s="3"/>
      <c r="B20" s="4"/>
      <c r="C20" s="4"/>
      <c r="D20" s="4"/>
      <c r="E20" s="4"/>
      <c r="F20" s="4"/>
      <c r="G20" s="5">
        <v>1</v>
      </c>
      <c r="H20" s="6"/>
      <c r="I20" s="6" t="str">
        <f t="shared" si="0"/>
        <v/>
      </c>
      <c r="J20" s="4"/>
      <c r="K20" s="4"/>
      <c r="L20" s="4"/>
      <c r="M20" s="3"/>
      <c r="N20" s="4"/>
    </row>
    <row r="21" spans="1:14" ht="16" customHeight="1" x14ac:dyDescent="0.2">
      <c r="A21" s="3"/>
      <c r="B21" s="4"/>
      <c r="C21" s="4"/>
      <c r="D21" s="4"/>
      <c r="E21" s="4"/>
      <c r="F21" s="4"/>
      <c r="G21" s="5">
        <v>1</v>
      </c>
      <c r="H21" s="6"/>
      <c r="I21" s="6" t="str">
        <f t="shared" si="0"/>
        <v/>
      </c>
      <c r="J21" s="4"/>
      <c r="K21" s="4"/>
      <c r="L21" s="4"/>
      <c r="M21" s="3"/>
      <c r="N21" s="4"/>
    </row>
    <row r="22" spans="1:14" ht="16" customHeight="1" x14ac:dyDescent="0.2">
      <c r="A22" s="3"/>
      <c r="B22" s="4"/>
      <c r="C22" s="4"/>
      <c r="D22" s="4"/>
      <c r="E22" s="4"/>
      <c r="F22" s="4"/>
      <c r="G22" s="5">
        <v>1</v>
      </c>
      <c r="H22" s="6"/>
      <c r="I22" s="6" t="str">
        <f t="shared" si="0"/>
        <v/>
      </c>
      <c r="J22" s="4"/>
      <c r="K22" s="4"/>
      <c r="L22" s="4"/>
      <c r="M22" s="3"/>
      <c r="N22" s="4"/>
    </row>
    <row r="23" spans="1:14" ht="16" customHeight="1" x14ac:dyDescent="0.2">
      <c r="A23" s="3"/>
      <c r="B23" s="4"/>
      <c r="C23" s="4"/>
      <c r="D23" s="4"/>
      <c r="E23" s="4"/>
      <c r="F23" s="4"/>
      <c r="G23" s="5">
        <v>1</v>
      </c>
      <c r="H23" s="6"/>
      <c r="I23" s="6" t="str">
        <f t="shared" si="0"/>
        <v/>
      </c>
      <c r="J23" s="4"/>
      <c r="K23" s="4"/>
      <c r="L23" s="4"/>
      <c r="M23" s="3"/>
      <c r="N23" s="4"/>
    </row>
    <row r="24" spans="1:14" ht="16" customHeight="1" x14ac:dyDescent="0.2">
      <c r="A24" s="3"/>
      <c r="B24" s="4"/>
      <c r="C24" s="4"/>
      <c r="D24" s="4"/>
      <c r="E24" s="4"/>
      <c r="F24" s="4"/>
      <c r="G24" s="5">
        <v>1</v>
      </c>
      <c r="H24" s="6"/>
      <c r="I24" s="6" t="str">
        <f t="shared" si="0"/>
        <v/>
      </c>
      <c r="J24" s="4"/>
      <c r="K24" s="4"/>
      <c r="L24" s="4"/>
      <c r="M24" s="3"/>
      <c r="N24" s="4"/>
    </row>
    <row r="25" spans="1:14" ht="16" customHeight="1" x14ac:dyDescent="0.2">
      <c r="A25" s="3"/>
      <c r="B25" s="4"/>
      <c r="C25" s="4"/>
      <c r="D25" s="4"/>
      <c r="E25" s="4"/>
      <c r="F25" s="4"/>
      <c r="G25" s="5">
        <v>1</v>
      </c>
      <c r="H25" s="6"/>
      <c r="I25" s="6" t="str">
        <f t="shared" si="0"/>
        <v/>
      </c>
      <c r="J25" s="4"/>
      <c r="K25" s="4"/>
      <c r="L25" s="4"/>
      <c r="M25" s="3"/>
      <c r="N25" s="4"/>
    </row>
    <row r="26" spans="1:14" ht="16" customHeight="1" x14ac:dyDescent="0.2">
      <c r="A26" s="3"/>
      <c r="B26" s="4"/>
      <c r="C26" s="4"/>
      <c r="D26" s="4"/>
      <c r="E26" s="4"/>
      <c r="F26" s="4"/>
      <c r="G26" s="5">
        <v>1</v>
      </c>
      <c r="H26" s="6"/>
      <c r="I26" s="6" t="str">
        <f t="shared" si="0"/>
        <v/>
      </c>
      <c r="J26" s="4"/>
      <c r="K26" s="4"/>
      <c r="L26" s="4"/>
      <c r="M26" s="3"/>
      <c r="N26" s="4"/>
    </row>
    <row r="27" spans="1:14" ht="16" customHeight="1" x14ac:dyDescent="0.2">
      <c r="A27" s="3"/>
      <c r="B27" s="4"/>
      <c r="C27" s="4"/>
      <c r="D27" s="4"/>
      <c r="E27" s="4"/>
      <c r="F27" s="4"/>
      <c r="G27" s="5">
        <v>1</v>
      </c>
      <c r="H27" s="6"/>
      <c r="I27" s="6" t="str">
        <f t="shared" si="0"/>
        <v/>
      </c>
      <c r="J27" s="4"/>
      <c r="K27" s="4"/>
      <c r="L27" s="4"/>
      <c r="M27" s="3"/>
      <c r="N27" s="4"/>
    </row>
    <row r="28" spans="1:14" ht="16" customHeight="1" x14ac:dyDescent="0.2">
      <c r="A28" s="3"/>
      <c r="B28" s="4"/>
      <c r="C28" s="4"/>
      <c r="D28" s="4"/>
      <c r="E28" s="4"/>
      <c r="F28" s="4"/>
      <c r="G28" s="5">
        <v>1</v>
      </c>
      <c r="H28" s="6"/>
      <c r="I28" s="6" t="str">
        <f t="shared" si="0"/>
        <v/>
      </c>
      <c r="J28" s="4"/>
      <c r="K28" s="4"/>
      <c r="L28" s="4"/>
      <c r="M28" s="3"/>
      <c r="N28" s="4"/>
    </row>
    <row r="29" spans="1:14" ht="16" customHeight="1" x14ac:dyDescent="0.2">
      <c r="A29" s="3"/>
      <c r="B29" s="4"/>
      <c r="C29" s="4"/>
      <c r="D29" s="4"/>
      <c r="E29" s="4"/>
      <c r="F29" s="4"/>
      <c r="G29" s="5">
        <v>1</v>
      </c>
      <c r="H29" s="6"/>
      <c r="I29" s="6" t="str">
        <f t="shared" si="0"/>
        <v/>
      </c>
      <c r="J29" s="4"/>
      <c r="K29" s="4"/>
      <c r="L29" s="4"/>
      <c r="M29" s="3"/>
      <c r="N29" s="4"/>
    </row>
    <row r="30" spans="1:14" ht="16" customHeight="1" x14ac:dyDescent="0.2">
      <c r="A30" s="3"/>
      <c r="B30" s="4"/>
      <c r="C30" s="4"/>
      <c r="D30" s="4"/>
      <c r="E30" s="4"/>
      <c r="F30" s="4"/>
      <c r="G30" s="5">
        <v>1</v>
      </c>
      <c r="H30" s="6"/>
      <c r="I30" s="6" t="str">
        <f t="shared" si="0"/>
        <v/>
      </c>
      <c r="J30" s="4"/>
      <c r="K30" s="4"/>
      <c r="L30" s="4"/>
      <c r="M30" s="3"/>
      <c r="N30" s="4"/>
    </row>
    <row r="31" spans="1:14" ht="16" customHeight="1" x14ac:dyDescent="0.2">
      <c r="A31" s="3"/>
      <c r="B31" s="4"/>
      <c r="C31" s="4"/>
      <c r="D31" s="4"/>
      <c r="E31" s="4"/>
      <c r="F31" s="4"/>
      <c r="G31" s="5">
        <v>1</v>
      </c>
      <c r="H31" s="6"/>
      <c r="I31" s="6" t="str">
        <f t="shared" si="0"/>
        <v/>
      </c>
      <c r="J31" s="4"/>
      <c r="K31" s="4"/>
      <c r="L31" s="4"/>
      <c r="M31" s="3"/>
      <c r="N31" s="4"/>
    </row>
    <row r="32" spans="1:14" ht="16" customHeight="1" x14ac:dyDescent="0.2">
      <c r="A32" s="3"/>
      <c r="B32" s="4"/>
      <c r="C32" s="4"/>
      <c r="D32" s="4"/>
      <c r="E32" s="4"/>
      <c r="F32" s="4"/>
      <c r="G32" s="5">
        <v>1</v>
      </c>
      <c r="H32" s="6"/>
      <c r="I32" s="6" t="str">
        <f t="shared" si="0"/>
        <v/>
      </c>
      <c r="J32" s="4"/>
      <c r="K32" s="4"/>
      <c r="L32" s="4"/>
      <c r="M32" s="3"/>
      <c r="N32" s="4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1"/>
  <sheetViews>
    <sheetView topLeftCell="B1" workbookViewId="0">
      <pane ySplit="1" topLeftCell="A35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36" customWidth="1"/>
    <col min="4" max="4" width="18" customWidth="1"/>
    <col min="5" max="5" width="20" customWidth="1"/>
    <col min="6" max="7" width="14" customWidth="1"/>
    <col min="8" max="8" width="12" customWidth="1"/>
    <col min="9" max="9" width="14" customWidth="1"/>
    <col min="10" max="10" width="10" customWidth="1"/>
    <col min="11" max="11" width="14" customWidth="1"/>
    <col min="12" max="12" width="16" customWidth="1"/>
    <col min="13" max="13" width="12" customWidth="1"/>
    <col min="14" max="15" width="16" customWidth="1"/>
    <col min="16" max="16" width="28" customWidth="1"/>
  </cols>
  <sheetData>
    <row r="1" spans="1:16" ht="32" customHeight="1" x14ac:dyDescent="0.2">
      <c r="A1" s="2" t="s">
        <v>97</v>
      </c>
      <c r="B1" s="2" t="s">
        <v>72</v>
      </c>
      <c r="C1" s="2" t="s">
        <v>98</v>
      </c>
      <c r="D1" s="2" t="s">
        <v>76</v>
      </c>
      <c r="E1" s="2" t="s">
        <v>99</v>
      </c>
      <c r="F1" s="2" t="s">
        <v>100</v>
      </c>
      <c r="G1" s="2" t="s">
        <v>101</v>
      </c>
      <c r="H1" s="2" t="s">
        <v>34</v>
      </c>
      <c r="I1" s="2" t="s">
        <v>102</v>
      </c>
      <c r="J1" s="2" t="s">
        <v>103</v>
      </c>
      <c r="K1" s="2" t="s">
        <v>104</v>
      </c>
      <c r="L1" s="2" t="s">
        <v>173</v>
      </c>
      <c r="M1" s="2" t="s">
        <v>105</v>
      </c>
      <c r="N1" s="2" t="s">
        <v>106</v>
      </c>
      <c r="O1" s="2" t="s">
        <v>107</v>
      </c>
      <c r="P1" s="2" t="s">
        <v>3</v>
      </c>
    </row>
    <row r="2" spans="1:16" ht="32" customHeight="1" x14ac:dyDescent="0.2">
      <c r="A2" s="3"/>
      <c r="B2" s="4" t="s">
        <v>83</v>
      </c>
      <c r="C2" s="4" t="s">
        <v>45</v>
      </c>
      <c r="D2" s="4" t="s">
        <v>45</v>
      </c>
      <c r="E2" s="4" t="s">
        <v>108</v>
      </c>
      <c r="F2" s="4" t="s">
        <v>37</v>
      </c>
      <c r="G2" s="6">
        <v>205000</v>
      </c>
      <c r="H2" s="4" t="s">
        <v>38</v>
      </c>
      <c r="I2" s="4" t="s">
        <v>109</v>
      </c>
      <c r="J2" s="7"/>
      <c r="K2" s="6">
        <f t="shared" ref="K2:K33" si="0">IF(OR(G2="",I2=""),"",IF(UPPER(I2)="YES",G2*J2,0))</f>
        <v>0</v>
      </c>
      <c r="L2" s="6">
        <f t="shared" ref="L2:L32" si="1">IF(G2="","",G2+K2)</f>
        <v>205000</v>
      </c>
      <c r="M2" s="4"/>
      <c r="N2" s="4" t="s">
        <v>110</v>
      </c>
      <c r="O2" s="4"/>
      <c r="P2" s="4"/>
    </row>
    <row r="3" spans="1:16" ht="32" customHeight="1" x14ac:dyDescent="0.2">
      <c r="A3" s="3"/>
      <c r="B3" s="4" t="s">
        <v>83</v>
      </c>
      <c r="C3" s="4" t="s">
        <v>4</v>
      </c>
      <c r="D3" s="4" t="s">
        <v>4</v>
      </c>
      <c r="E3" s="4" t="s">
        <v>111</v>
      </c>
      <c r="F3" s="4" t="s">
        <v>58</v>
      </c>
      <c r="G3" s="6">
        <v>50000</v>
      </c>
      <c r="H3" s="4" t="s">
        <v>38</v>
      </c>
      <c r="I3" s="4" t="s">
        <v>109</v>
      </c>
      <c r="J3" s="7"/>
      <c r="K3" s="6">
        <f t="shared" si="0"/>
        <v>0</v>
      </c>
      <c r="L3" s="6">
        <f t="shared" si="1"/>
        <v>50000</v>
      </c>
      <c r="M3" s="4"/>
      <c r="N3" s="4" t="s">
        <v>110</v>
      </c>
      <c r="O3" s="4"/>
      <c r="P3" s="4"/>
    </row>
    <row r="4" spans="1:16" ht="32" customHeight="1" x14ac:dyDescent="0.2">
      <c r="A4" s="3"/>
      <c r="B4" s="4" t="s">
        <v>83</v>
      </c>
      <c r="C4" s="4" t="s">
        <v>4</v>
      </c>
      <c r="D4" s="4" t="s">
        <v>4</v>
      </c>
      <c r="E4" s="4" t="s">
        <v>63</v>
      </c>
      <c r="F4" s="4" t="s">
        <v>58</v>
      </c>
      <c r="G4" s="6">
        <v>119000</v>
      </c>
      <c r="H4" s="4" t="s">
        <v>38</v>
      </c>
      <c r="I4" s="4" t="s">
        <v>109</v>
      </c>
      <c r="J4" s="7"/>
      <c r="K4" s="6">
        <f t="shared" si="0"/>
        <v>0</v>
      </c>
      <c r="L4" s="6">
        <f t="shared" si="1"/>
        <v>119000</v>
      </c>
      <c r="M4" s="4"/>
      <c r="N4" s="4" t="s">
        <v>110</v>
      </c>
      <c r="O4" s="4"/>
      <c r="P4" s="4"/>
    </row>
    <row r="5" spans="1:16" ht="32" customHeight="1" x14ac:dyDescent="0.2">
      <c r="A5" s="3"/>
      <c r="B5" s="4" t="s">
        <v>83</v>
      </c>
      <c r="C5" s="4" t="s">
        <v>6</v>
      </c>
      <c r="D5" s="4" t="s">
        <v>6</v>
      </c>
      <c r="E5" s="4" t="s">
        <v>61</v>
      </c>
      <c r="F5" s="4" t="s">
        <v>37</v>
      </c>
      <c r="G5" s="6">
        <v>120000</v>
      </c>
      <c r="H5" s="4" t="s">
        <v>38</v>
      </c>
      <c r="I5" s="4" t="s">
        <v>109</v>
      </c>
      <c r="J5" s="7"/>
      <c r="K5" s="6">
        <f t="shared" si="0"/>
        <v>0</v>
      </c>
      <c r="L5" s="6">
        <f t="shared" si="1"/>
        <v>120000</v>
      </c>
      <c r="M5" s="4"/>
      <c r="N5" s="4" t="s">
        <v>110</v>
      </c>
      <c r="O5" s="4"/>
      <c r="P5" s="4"/>
    </row>
    <row r="6" spans="1:16" ht="32" customHeight="1" x14ac:dyDescent="0.2">
      <c r="A6" s="3"/>
      <c r="B6" s="4" t="s">
        <v>83</v>
      </c>
      <c r="C6" s="4" t="s">
        <v>45</v>
      </c>
      <c r="D6" s="4" t="s">
        <v>45</v>
      </c>
      <c r="E6" s="4" t="s">
        <v>112</v>
      </c>
      <c r="F6" s="4" t="s">
        <v>37</v>
      </c>
      <c r="G6" s="6">
        <v>50000</v>
      </c>
      <c r="H6" s="4" t="s">
        <v>38</v>
      </c>
      <c r="I6" s="4" t="s">
        <v>109</v>
      </c>
      <c r="J6" s="7"/>
      <c r="K6" s="6">
        <f t="shared" si="0"/>
        <v>0</v>
      </c>
      <c r="L6" s="6">
        <f t="shared" si="1"/>
        <v>50000</v>
      </c>
      <c r="M6" s="4"/>
      <c r="N6" s="4" t="s">
        <v>110</v>
      </c>
      <c r="O6" s="4"/>
      <c r="P6" s="4"/>
    </row>
    <row r="7" spans="1:16" ht="32" customHeight="1" x14ac:dyDescent="0.2">
      <c r="A7" s="3"/>
      <c r="B7" s="4" t="s">
        <v>83</v>
      </c>
      <c r="C7" s="4" t="s">
        <v>59</v>
      </c>
      <c r="D7" s="4" t="s">
        <v>59</v>
      </c>
      <c r="E7" s="4" t="s">
        <v>113</v>
      </c>
      <c r="F7" s="4" t="s">
        <v>41</v>
      </c>
      <c r="G7" s="6">
        <v>24500</v>
      </c>
      <c r="H7" s="4" t="s">
        <v>38</v>
      </c>
      <c r="I7" s="4" t="s">
        <v>109</v>
      </c>
      <c r="J7" s="7"/>
      <c r="K7" s="6">
        <f t="shared" si="0"/>
        <v>0</v>
      </c>
      <c r="L7" s="6">
        <f t="shared" si="1"/>
        <v>24500</v>
      </c>
      <c r="M7" s="4"/>
      <c r="N7" s="4" t="s">
        <v>110</v>
      </c>
      <c r="O7" s="4"/>
      <c r="P7" s="4"/>
    </row>
    <row r="8" spans="1:16" ht="32" customHeight="1" x14ac:dyDescent="0.2">
      <c r="A8" s="3"/>
      <c r="B8" s="4" t="s">
        <v>83</v>
      </c>
      <c r="C8" s="4" t="s">
        <v>4</v>
      </c>
      <c r="D8" s="4" t="s">
        <v>4</v>
      </c>
      <c r="E8" s="4" t="s">
        <v>42</v>
      </c>
      <c r="F8" s="4" t="s">
        <v>58</v>
      </c>
      <c r="G8" s="6">
        <v>180000</v>
      </c>
      <c r="H8" s="4" t="s">
        <v>38</v>
      </c>
      <c r="I8" s="4" t="s">
        <v>109</v>
      </c>
      <c r="J8" s="7"/>
      <c r="K8" s="6">
        <f t="shared" si="0"/>
        <v>0</v>
      </c>
      <c r="L8" s="6">
        <f t="shared" si="1"/>
        <v>180000</v>
      </c>
      <c r="M8" s="4"/>
      <c r="N8" s="4" t="s">
        <v>110</v>
      </c>
      <c r="O8" s="4"/>
      <c r="P8" s="4"/>
    </row>
    <row r="9" spans="1:16" ht="32" customHeight="1" x14ac:dyDescent="0.2">
      <c r="A9" s="3"/>
      <c r="B9" s="4" t="s">
        <v>83</v>
      </c>
      <c r="C9" s="4" t="s">
        <v>57</v>
      </c>
      <c r="D9" s="4" t="s">
        <v>57</v>
      </c>
      <c r="E9" s="4" t="s">
        <v>114</v>
      </c>
      <c r="F9" s="4" t="s">
        <v>37</v>
      </c>
      <c r="G9" s="6">
        <v>70000</v>
      </c>
      <c r="H9" s="4" t="s">
        <v>38</v>
      </c>
      <c r="I9" s="4" t="s">
        <v>109</v>
      </c>
      <c r="J9" s="7"/>
      <c r="K9" s="6">
        <f t="shared" si="0"/>
        <v>0</v>
      </c>
      <c r="L9" s="6">
        <f t="shared" si="1"/>
        <v>70000</v>
      </c>
      <c r="M9" s="4"/>
      <c r="N9" s="4" t="s">
        <v>110</v>
      </c>
      <c r="O9" s="4"/>
      <c r="P9" s="4"/>
    </row>
    <row r="10" spans="1:16" ht="32" customHeight="1" x14ac:dyDescent="0.2">
      <c r="A10" s="3"/>
      <c r="B10" s="4" t="s">
        <v>83</v>
      </c>
      <c r="C10" s="4" t="s">
        <v>45</v>
      </c>
      <c r="D10" s="4" t="s">
        <v>45</v>
      </c>
      <c r="E10" s="4" t="s">
        <v>115</v>
      </c>
      <c r="F10" s="4" t="s">
        <v>37</v>
      </c>
      <c r="G10" s="6">
        <v>10000</v>
      </c>
      <c r="H10" s="4" t="s">
        <v>38</v>
      </c>
      <c r="I10" s="4" t="s">
        <v>109</v>
      </c>
      <c r="J10" s="7"/>
      <c r="K10" s="6">
        <f t="shared" si="0"/>
        <v>0</v>
      </c>
      <c r="L10" s="6">
        <f t="shared" si="1"/>
        <v>10000</v>
      </c>
      <c r="M10" s="4"/>
      <c r="N10" s="4" t="s">
        <v>110</v>
      </c>
      <c r="O10" s="4"/>
      <c r="P10" s="4"/>
    </row>
    <row r="11" spans="1:16" ht="32" customHeight="1" x14ac:dyDescent="0.2">
      <c r="A11" s="3"/>
      <c r="B11" s="4" t="s">
        <v>83</v>
      </c>
      <c r="C11" s="4" t="s">
        <v>45</v>
      </c>
      <c r="D11" s="4" t="s">
        <v>45</v>
      </c>
      <c r="E11" s="4" t="s">
        <v>116</v>
      </c>
      <c r="F11" s="4" t="s">
        <v>37</v>
      </c>
      <c r="G11" s="6">
        <v>20000</v>
      </c>
      <c r="H11" s="4" t="s">
        <v>38</v>
      </c>
      <c r="I11" s="4" t="s">
        <v>109</v>
      </c>
      <c r="J11" s="7"/>
      <c r="K11" s="6">
        <f t="shared" si="0"/>
        <v>0</v>
      </c>
      <c r="L11" s="6">
        <f t="shared" si="1"/>
        <v>20000</v>
      </c>
      <c r="M11" s="4"/>
      <c r="N11" s="4" t="s">
        <v>110</v>
      </c>
      <c r="O11" s="4"/>
      <c r="P11" s="4"/>
    </row>
    <row r="12" spans="1:16" ht="32" customHeight="1" x14ac:dyDescent="0.2">
      <c r="A12" s="3"/>
      <c r="B12" s="4" t="s">
        <v>83</v>
      </c>
      <c r="C12" s="4" t="s">
        <v>70</v>
      </c>
      <c r="D12" s="4" t="s">
        <v>70</v>
      </c>
      <c r="E12" s="4" t="s">
        <v>117</v>
      </c>
      <c r="F12" s="4" t="s">
        <v>41</v>
      </c>
      <c r="G12" s="6">
        <v>25000</v>
      </c>
      <c r="H12" s="4" t="s">
        <v>38</v>
      </c>
      <c r="I12" s="4" t="s">
        <v>109</v>
      </c>
      <c r="J12" s="7"/>
      <c r="K12" s="6">
        <f t="shared" si="0"/>
        <v>0</v>
      </c>
      <c r="L12" s="6">
        <f t="shared" si="1"/>
        <v>25000</v>
      </c>
      <c r="M12" s="4"/>
      <c r="N12" s="4" t="s">
        <v>110</v>
      </c>
      <c r="O12" s="4"/>
      <c r="P12" s="4"/>
    </row>
    <row r="13" spans="1:16" ht="32" customHeight="1" x14ac:dyDescent="0.2">
      <c r="A13" s="3">
        <v>45977</v>
      </c>
      <c r="B13" s="4" t="s">
        <v>83</v>
      </c>
      <c r="C13" s="4" t="s">
        <v>118</v>
      </c>
      <c r="D13" s="4" t="s">
        <v>62</v>
      </c>
      <c r="E13" s="4" t="s">
        <v>65</v>
      </c>
      <c r="F13" s="4" t="s">
        <v>46</v>
      </c>
      <c r="G13" s="6">
        <v>385</v>
      </c>
      <c r="H13" s="4" t="s">
        <v>65</v>
      </c>
      <c r="I13" s="4" t="s">
        <v>172</v>
      </c>
      <c r="J13" s="7">
        <v>0.15</v>
      </c>
      <c r="K13" s="6">
        <f>IF(OR(G13="",I13=""),"",IF(UPPER(I13)="YES",G13*J13,0))</f>
        <v>57.75</v>
      </c>
      <c r="L13" s="6">
        <f>IF(G13="","",G13-K13)</f>
        <v>327.25</v>
      </c>
      <c r="M13" s="4"/>
      <c r="N13" s="4" t="s">
        <v>110</v>
      </c>
      <c r="O13" s="4"/>
      <c r="P13" s="4" t="s">
        <v>119</v>
      </c>
    </row>
    <row r="14" spans="1:16" ht="32" customHeight="1" x14ac:dyDescent="0.2">
      <c r="A14" s="3">
        <v>45977</v>
      </c>
      <c r="B14" s="4" t="s">
        <v>83</v>
      </c>
      <c r="C14" s="4" t="s">
        <v>120</v>
      </c>
      <c r="D14" s="4" t="s">
        <v>62</v>
      </c>
      <c r="E14" s="4" t="s">
        <v>65</v>
      </c>
      <c r="F14" s="4" t="s">
        <v>46</v>
      </c>
      <c r="G14" s="6">
        <v>7000</v>
      </c>
      <c r="H14" s="4" t="s">
        <v>65</v>
      </c>
      <c r="I14" s="4" t="s">
        <v>172</v>
      </c>
      <c r="J14" s="7">
        <v>0.15</v>
      </c>
      <c r="K14" s="6">
        <f t="shared" si="0"/>
        <v>1050</v>
      </c>
      <c r="L14" s="6">
        <f>IF(G14="","",G14-K14)</f>
        <v>5950</v>
      </c>
      <c r="M14" s="4"/>
      <c r="N14" s="4" t="s">
        <v>110</v>
      </c>
      <c r="O14" s="4"/>
      <c r="P14" s="4" t="s">
        <v>119</v>
      </c>
    </row>
    <row r="15" spans="1:16" ht="32" customHeight="1" x14ac:dyDescent="0.2">
      <c r="A15" s="3">
        <v>45977</v>
      </c>
      <c r="B15" s="4" t="s">
        <v>83</v>
      </c>
      <c r="C15" s="4" t="s">
        <v>113</v>
      </c>
      <c r="D15" s="4" t="s">
        <v>59</v>
      </c>
      <c r="E15" s="4" t="s">
        <v>65</v>
      </c>
      <c r="F15" s="4" t="s">
        <v>46</v>
      </c>
      <c r="G15" s="6">
        <v>750</v>
      </c>
      <c r="H15" s="4" t="s">
        <v>65</v>
      </c>
      <c r="I15" s="4" t="s">
        <v>109</v>
      </c>
      <c r="J15" s="7"/>
      <c r="K15" s="6">
        <f t="shared" si="0"/>
        <v>0</v>
      </c>
      <c r="L15" s="6">
        <f t="shared" si="1"/>
        <v>750</v>
      </c>
      <c r="M15" s="4"/>
      <c r="N15" s="4" t="s">
        <v>110</v>
      </c>
      <c r="O15" s="4"/>
      <c r="P15" s="4" t="s">
        <v>119</v>
      </c>
    </row>
    <row r="16" spans="1:16" ht="32" customHeight="1" x14ac:dyDescent="0.2">
      <c r="A16" s="3">
        <v>45978</v>
      </c>
      <c r="B16" s="4" t="s">
        <v>83</v>
      </c>
      <c r="C16" s="4" t="s">
        <v>120</v>
      </c>
      <c r="D16" s="4" t="s">
        <v>62</v>
      </c>
      <c r="E16" s="4" t="s">
        <v>65</v>
      </c>
      <c r="F16" s="4" t="s">
        <v>46</v>
      </c>
      <c r="G16" s="6">
        <v>1446</v>
      </c>
      <c r="H16" s="4" t="s">
        <v>65</v>
      </c>
      <c r="I16" s="4" t="s">
        <v>172</v>
      </c>
      <c r="J16" s="7">
        <v>0.15</v>
      </c>
      <c r="K16" s="6">
        <f t="shared" si="0"/>
        <v>216.9</v>
      </c>
      <c r="L16" s="6">
        <f t="shared" ref="L16:L18" si="2">IF(G16="","",G16-K16)</f>
        <v>1229.0999999999999</v>
      </c>
      <c r="M16" s="4"/>
      <c r="N16" s="4" t="s">
        <v>110</v>
      </c>
      <c r="O16" s="4"/>
      <c r="P16" s="4" t="s">
        <v>119</v>
      </c>
    </row>
    <row r="17" spans="1:16" ht="32" customHeight="1" x14ac:dyDescent="0.2">
      <c r="A17" s="3">
        <v>45985</v>
      </c>
      <c r="B17" s="4" t="s">
        <v>83</v>
      </c>
      <c r="C17" s="4" t="s">
        <v>62</v>
      </c>
      <c r="D17" s="4" t="s">
        <v>62</v>
      </c>
      <c r="E17" s="4" t="s">
        <v>65</v>
      </c>
      <c r="F17" s="4" t="s">
        <v>46</v>
      </c>
      <c r="G17" s="6">
        <v>3500</v>
      </c>
      <c r="H17" s="4" t="s">
        <v>65</v>
      </c>
      <c r="I17" s="4" t="s">
        <v>172</v>
      </c>
      <c r="J17" s="7">
        <v>0.15</v>
      </c>
      <c r="K17" s="6">
        <f t="shared" si="0"/>
        <v>525</v>
      </c>
      <c r="L17" s="6">
        <f t="shared" si="2"/>
        <v>2975</v>
      </c>
      <c r="M17" s="4"/>
      <c r="N17" s="4" t="s">
        <v>110</v>
      </c>
      <c r="O17" s="4"/>
      <c r="P17" s="4" t="s">
        <v>119</v>
      </c>
    </row>
    <row r="18" spans="1:16" ht="32" customHeight="1" x14ac:dyDescent="0.2">
      <c r="A18" s="3">
        <v>45986</v>
      </c>
      <c r="B18" s="4" t="s">
        <v>83</v>
      </c>
      <c r="C18" s="4" t="s">
        <v>121</v>
      </c>
      <c r="D18" s="4" t="s">
        <v>62</v>
      </c>
      <c r="E18" s="4" t="s">
        <v>65</v>
      </c>
      <c r="F18" s="4" t="s">
        <v>46</v>
      </c>
      <c r="G18" s="6">
        <v>500</v>
      </c>
      <c r="H18" s="4" t="s">
        <v>65</v>
      </c>
      <c r="I18" s="4" t="s">
        <v>172</v>
      </c>
      <c r="J18" s="7">
        <v>0.15</v>
      </c>
      <c r="K18" s="6">
        <f t="shared" si="0"/>
        <v>75</v>
      </c>
      <c r="L18" s="6">
        <f t="shared" si="2"/>
        <v>425</v>
      </c>
      <c r="M18" s="4"/>
      <c r="N18" s="4" t="s">
        <v>110</v>
      </c>
      <c r="O18" s="4"/>
      <c r="P18" s="4" t="s">
        <v>119</v>
      </c>
    </row>
    <row r="19" spans="1:16" ht="32" customHeight="1" x14ac:dyDescent="0.2">
      <c r="A19" s="3">
        <v>45986</v>
      </c>
      <c r="B19" s="4" t="s">
        <v>83</v>
      </c>
      <c r="C19" s="4" t="s">
        <v>122</v>
      </c>
      <c r="D19" s="4" t="s">
        <v>59</v>
      </c>
      <c r="E19" s="4" t="s">
        <v>65</v>
      </c>
      <c r="F19" s="4" t="s">
        <v>46</v>
      </c>
      <c r="G19" s="6">
        <v>400</v>
      </c>
      <c r="H19" s="4" t="s">
        <v>65</v>
      </c>
      <c r="I19" s="4" t="s">
        <v>109</v>
      </c>
      <c r="J19" s="7"/>
      <c r="K19" s="6">
        <f t="shared" si="0"/>
        <v>0</v>
      </c>
      <c r="L19" s="6">
        <f t="shared" si="1"/>
        <v>400</v>
      </c>
      <c r="M19" s="4"/>
      <c r="N19" s="4" t="s">
        <v>110</v>
      </c>
      <c r="O19" s="4"/>
      <c r="P19" s="4" t="s">
        <v>119</v>
      </c>
    </row>
    <row r="20" spans="1:16" ht="32" customHeight="1" x14ac:dyDescent="0.2">
      <c r="A20" s="3">
        <v>45986</v>
      </c>
      <c r="B20" s="4" t="s">
        <v>83</v>
      </c>
      <c r="C20" s="4" t="s">
        <v>61</v>
      </c>
      <c r="D20" s="4" t="s">
        <v>59</v>
      </c>
      <c r="E20" s="4" t="s">
        <v>65</v>
      </c>
      <c r="F20" s="4" t="s">
        <v>46</v>
      </c>
      <c r="G20" s="6">
        <v>2960.5</v>
      </c>
      <c r="H20" s="4" t="s">
        <v>65</v>
      </c>
      <c r="I20" s="4" t="s">
        <v>109</v>
      </c>
      <c r="J20" s="7"/>
      <c r="K20" s="6">
        <f t="shared" si="0"/>
        <v>0</v>
      </c>
      <c r="L20" s="6">
        <f t="shared" si="1"/>
        <v>2960.5</v>
      </c>
      <c r="M20" s="4"/>
      <c r="N20" s="4" t="s">
        <v>110</v>
      </c>
      <c r="O20" s="4"/>
      <c r="P20" s="4" t="s">
        <v>119</v>
      </c>
    </row>
    <row r="21" spans="1:16" ht="32" customHeight="1" x14ac:dyDescent="0.2">
      <c r="A21" s="3">
        <v>45986</v>
      </c>
      <c r="B21" s="4" t="s">
        <v>83</v>
      </c>
      <c r="C21" s="4" t="s">
        <v>62</v>
      </c>
      <c r="D21" s="4" t="s">
        <v>62</v>
      </c>
      <c r="E21" s="4" t="s">
        <v>65</v>
      </c>
      <c r="F21" s="4" t="s">
        <v>46</v>
      </c>
      <c r="G21" s="6">
        <v>170</v>
      </c>
      <c r="H21" s="4" t="s">
        <v>65</v>
      </c>
      <c r="I21" s="4" t="s">
        <v>172</v>
      </c>
      <c r="J21" s="7">
        <v>0.15</v>
      </c>
      <c r="K21" s="6">
        <f t="shared" si="0"/>
        <v>25.5</v>
      </c>
      <c r="L21" s="6">
        <f t="shared" ref="L21:L24" si="3">IF(G21="","",G21-K21)</f>
        <v>144.5</v>
      </c>
      <c r="M21" s="4"/>
      <c r="N21" s="4" t="s">
        <v>110</v>
      </c>
      <c r="O21" s="4"/>
      <c r="P21" s="4" t="s">
        <v>119</v>
      </c>
    </row>
    <row r="22" spans="1:16" ht="32" customHeight="1" x14ac:dyDescent="0.2">
      <c r="A22" s="3">
        <v>45987</v>
      </c>
      <c r="B22" s="4" t="s">
        <v>83</v>
      </c>
      <c r="C22" s="4" t="s">
        <v>62</v>
      </c>
      <c r="D22" s="4" t="s">
        <v>62</v>
      </c>
      <c r="E22" s="4" t="s">
        <v>65</v>
      </c>
      <c r="F22" s="4" t="s">
        <v>46</v>
      </c>
      <c r="G22" s="6">
        <v>1446</v>
      </c>
      <c r="H22" s="4" t="s">
        <v>65</v>
      </c>
      <c r="I22" s="4" t="s">
        <v>172</v>
      </c>
      <c r="J22" s="7">
        <v>0.15</v>
      </c>
      <c r="K22" s="6">
        <f t="shared" si="0"/>
        <v>216.9</v>
      </c>
      <c r="L22" s="6">
        <f t="shared" si="3"/>
        <v>1229.0999999999999</v>
      </c>
      <c r="M22" s="4"/>
      <c r="N22" s="4" t="s">
        <v>110</v>
      </c>
      <c r="O22" s="4"/>
      <c r="P22" s="4" t="s">
        <v>119</v>
      </c>
    </row>
    <row r="23" spans="1:16" ht="32" customHeight="1" x14ac:dyDescent="0.2">
      <c r="A23" s="3">
        <v>45987</v>
      </c>
      <c r="B23" s="4" t="s">
        <v>83</v>
      </c>
      <c r="C23" s="4" t="s">
        <v>123</v>
      </c>
      <c r="D23" s="4" t="s">
        <v>62</v>
      </c>
      <c r="E23" s="4" t="s">
        <v>65</v>
      </c>
      <c r="F23" s="4" t="s">
        <v>46</v>
      </c>
      <c r="G23" s="6">
        <v>2755</v>
      </c>
      <c r="H23" s="4" t="s">
        <v>65</v>
      </c>
      <c r="I23" s="4" t="s">
        <v>172</v>
      </c>
      <c r="J23" s="7">
        <v>0.15</v>
      </c>
      <c r="K23" s="6">
        <f t="shared" si="0"/>
        <v>413.25</v>
      </c>
      <c r="L23" s="6">
        <f t="shared" si="3"/>
        <v>2341.75</v>
      </c>
      <c r="M23" s="4"/>
      <c r="N23" s="4" t="s">
        <v>110</v>
      </c>
      <c r="O23" s="4"/>
      <c r="P23" s="4" t="s">
        <v>119</v>
      </c>
    </row>
    <row r="24" spans="1:16" ht="32" customHeight="1" x14ac:dyDescent="0.2">
      <c r="A24" s="3">
        <v>45987</v>
      </c>
      <c r="B24" s="4" t="s">
        <v>83</v>
      </c>
      <c r="C24" s="4" t="s">
        <v>62</v>
      </c>
      <c r="D24" s="4" t="s">
        <v>62</v>
      </c>
      <c r="E24" s="4" t="s">
        <v>65</v>
      </c>
      <c r="F24" s="4" t="s">
        <v>46</v>
      </c>
      <c r="G24" s="6">
        <v>485</v>
      </c>
      <c r="H24" s="4" t="s">
        <v>65</v>
      </c>
      <c r="I24" s="4" t="s">
        <v>172</v>
      </c>
      <c r="J24" s="7">
        <v>0.15</v>
      </c>
      <c r="K24" s="6">
        <f t="shared" si="0"/>
        <v>72.75</v>
      </c>
      <c r="L24" s="6">
        <f t="shared" si="3"/>
        <v>412.25</v>
      </c>
      <c r="M24" s="4"/>
      <c r="N24" s="4" t="s">
        <v>110</v>
      </c>
      <c r="O24" s="4"/>
      <c r="P24" s="4" t="s">
        <v>119</v>
      </c>
    </row>
    <row r="25" spans="1:16" ht="32" customHeight="1" x14ac:dyDescent="0.2">
      <c r="A25" s="3">
        <v>45988</v>
      </c>
      <c r="B25" s="4" t="s">
        <v>83</v>
      </c>
      <c r="C25" s="4" t="s">
        <v>59</v>
      </c>
      <c r="D25" s="4" t="s">
        <v>59</v>
      </c>
      <c r="E25" s="4" t="s">
        <v>65</v>
      </c>
      <c r="F25" s="4" t="s">
        <v>46</v>
      </c>
      <c r="G25" s="6">
        <v>4000</v>
      </c>
      <c r="H25" s="4" t="s">
        <v>65</v>
      </c>
      <c r="I25" s="4" t="s">
        <v>109</v>
      </c>
      <c r="J25" s="7"/>
      <c r="K25" s="6">
        <f t="shared" si="0"/>
        <v>0</v>
      </c>
      <c r="L25" s="6">
        <f t="shared" si="1"/>
        <v>4000</v>
      </c>
      <c r="M25" s="4"/>
      <c r="N25" s="4" t="s">
        <v>110</v>
      </c>
      <c r="O25" s="4"/>
      <c r="P25" s="4" t="s">
        <v>119</v>
      </c>
    </row>
    <row r="26" spans="1:16" ht="32" customHeight="1" x14ac:dyDescent="0.2">
      <c r="A26" s="3">
        <v>45988</v>
      </c>
      <c r="B26" s="4" t="s">
        <v>83</v>
      </c>
      <c r="C26" s="4" t="s">
        <v>59</v>
      </c>
      <c r="D26" s="4" t="s">
        <v>59</v>
      </c>
      <c r="E26" s="4" t="s">
        <v>65</v>
      </c>
      <c r="F26" s="4" t="s">
        <v>46</v>
      </c>
      <c r="G26" s="6">
        <v>411</v>
      </c>
      <c r="H26" s="4" t="s">
        <v>65</v>
      </c>
      <c r="I26" s="4" t="s">
        <v>109</v>
      </c>
      <c r="J26" s="7"/>
      <c r="K26" s="6">
        <f t="shared" si="0"/>
        <v>0</v>
      </c>
      <c r="L26" s="6">
        <f t="shared" si="1"/>
        <v>411</v>
      </c>
      <c r="M26" s="4"/>
      <c r="N26" s="4" t="s">
        <v>110</v>
      </c>
      <c r="O26" s="4"/>
      <c r="P26" s="4" t="s">
        <v>119</v>
      </c>
    </row>
    <row r="27" spans="1:16" ht="32" customHeight="1" x14ac:dyDescent="0.2">
      <c r="A27" s="3">
        <v>45988</v>
      </c>
      <c r="B27" s="4" t="s">
        <v>83</v>
      </c>
      <c r="C27" s="4" t="s">
        <v>62</v>
      </c>
      <c r="D27" s="4" t="s">
        <v>62</v>
      </c>
      <c r="E27" s="4" t="s">
        <v>65</v>
      </c>
      <c r="F27" s="4" t="s">
        <v>46</v>
      </c>
      <c r="G27" s="6">
        <v>460</v>
      </c>
      <c r="H27" s="4" t="s">
        <v>65</v>
      </c>
      <c r="I27" s="4" t="s">
        <v>172</v>
      </c>
      <c r="J27" s="7">
        <v>0.15</v>
      </c>
      <c r="K27" s="6">
        <f t="shared" si="0"/>
        <v>69</v>
      </c>
      <c r="L27" s="6">
        <f>IF(G27="","",G27-K27)</f>
        <v>391</v>
      </c>
      <c r="M27" s="4"/>
      <c r="N27" s="4" t="s">
        <v>110</v>
      </c>
      <c r="O27" s="4"/>
      <c r="P27" s="4" t="s">
        <v>119</v>
      </c>
    </row>
    <row r="28" spans="1:16" ht="32" customHeight="1" x14ac:dyDescent="0.2">
      <c r="A28" s="3">
        <v>45988</v>
      </c>
      <c r="B28" s="4" t="s">
        <v>83</v>
      </c>
      <c r="C28" s="4" t="s">
        <v>113</v>
      </c>
      <c r="D28" s="4" t="s">
        <v>59</v>
      </c>
      <c r="E28" s="4" t="s">
        <v>65</v>
      </c>
      <c r="F28" s="4" t="s">
        <v>46</v>
      </c>
      <c r="G28" s="6">
        <v>2070</v>
      </c>
      <c r="H28" s="4" t="s">
        <v>65</v>
      </c>
      <c r="I28" s="4" t="s">
        <v>109</v>
      </c>
      <c r="J28" s="7"/>
      <c r="K28" s="6">
        <f t="shared" si="0"/>
        <v>0</v>
      </c>
      <c r="L28" s="6">
        <f t="shared" si="1"/>
        <v>2070</v>
      </c>
      <c r="M28" s="4"/>
      <c r="N28" s="4" t="s">
        <v>110</v>
      </c>
      <c r="O28" s="4"/>
      <c r="P28" s="4" t="s">
        <v>119</v>
      </c>
    </row>
    <row r="29" spans="1:16" ht="32" customHeight="1" x14ac:dyDescent="0.2">
      <c r="A29" s="3">
        <v>45988</v>
      </c>
      <c r="B29" s="4" t="s">
        <v>83</v>
      </c>
      <c r="C29" s="4" t="s">
        <v>124</v>
      </c>
      <c r="D29" s="4" t="s">
        <v>62</v>
      </c>
      <c r="E29" s="4" t="s">
        <v>65</v>
      </c>
      <c r="F29" s="4" t="s">
        <v>46</v>
      </c>
      <c r="G29" s="6">
        <v>2900</v>
      </c>
      <c r="H29" s="4" t="s">
        <v>65</v>
      </c>
      <c r="I29" s="4" t="s">
        <v>172</v>
      </c>
      <c r="J29" s="7">
        <v>0.15</v>
      </c>
      <c r="K29" s="6">
        <f t="shared" si="0"/>
        <v>435</v>
      </c>
      <c r="L29" s="6">
        <f t="shared" ref="L29:L31" si="4">IF(G29="","",G29-K29)</f>
        <v>2465</v>
      </c>
      <c r="M29" s="4"/>
      <c r="N29" s="4" t="s">
        <v>110</v>
      </c>
      <c r="O29" s="4"/>
      <c r="P29" s="4" t="s">
        <v>119</v>
      </c>
    </row>
    <row r="30" spans="1:16" ht="32" customHeight="1" x14ac:dyDescent="0.2">
      <c r="A30" s="3">
        <v>45988</v>
      </c>
      <c r="B30" s="4" t="s">
        <v>83</v>
      </c>
      <c r="C30" s="4" t="s">
        <v>62</v>
      </c>
      <c r="D30" s="4" t="s">
        <v>62</v>
      </c>
      <c r="E30" s="4" t="s">
        <v>65</v>
      </c>
      <c r="F30" s="4" t="s">
        <v>46</v>
      </c>
      <c r="G30" s="6">
        <v>477</v>
      </c>
      <c r="H30" s="4" t="s">
        <v>65</v>
      </c>
      <c r="I30" s="4" t="s">
        <v>172</v>
      </c>
      <c r="J30" s="7">
        <v>0.15</v>
      </c>
      <c r="K30" s="6">
        <f t="shared" si="0"/>
        <v>71.55</v>
      </c>
      <c r="L30" s="6">
        <f t="shared" si="4"/>
        <v>405.45</v>
      </c>
      <c r="M30" s="4"/>
      <c r="N30" s="4" t="s">
        <v>110</v>
      </c>
      <c r="O30" s="4"/>
      <c r="P30" s="4" t="s">
        <v>119</v>
      </c>
    </row>
    <row r="31" spans="1:16" ht="32" customHeight="1" x14ac:dyDescent="0.2">
      <c r="A31" s="3">
        <v>45989</v>
      </c>
      <c r="B31" s="4" t="s">
        <v>83</v>
      </c>
      <c r="C31" s="4" t="s">
        <v>62</v>
      </c>
      <c r="D31" s="4" t="s">
        <v>62</v>
      </c>
      <c r="E31" s="4" t="s">
        <v>65</v>
      </c>
      <c r="F31" s="4" t="s">
        <v>46</v>
      </c>
      <c r="G31" s="6">
        <v>1800</v>
      </c>
      <c r="H31" s="4" t="s">
        <v>65</v>
      </c>
      <c r="I31" s="4" t="s">
        <v>172</v>
      </c>
      <c r="J31" s="7">
        <v>0.15</v>
      </c>
      <c r="K31" s="6">
        <f t="shared" si="0"/>
        <v>270</v>
      </c>
      <c r="L31" s="6">
        <f t="shared" si="4"/>
        <v>1530</v>
      </c>
      <c r="M31" s="4"/>
      <c r="N31" s="4" t="s">
        <v>110</v>
      </c>
      <c r="O31" s="4"/>
      <c r="P31" s="4" t="s">
        <v>119</v>
      </c>
    </row>
    <row r="32" spans="1:16" ht="32" customHeight="1" x14ac:dyDescent="0.2">
      <c r="A32" s="3">
        <v>45989</v>
      </c>
      <c r="B32" s="4" t="s">
        <v>83</v>
      </c>
      <c r="C32" s="4" t="s">
        <v>125</v>
      </c>
      <c r="D32" s="4" t="s">
        <v>59</v>
      </c>
      <c r="E32" s="4" t="s">
        <v>65</v>
      </c>
      <c r="F32" s="4" t="s">
        <v>46</v>
      </c>
      <c r="G32" s="6">
        <v>3095</v>
      </c>
      <c r="H32" s="4" t="s">
        <v>65</v>
      </c>
      <c r="I32" s="4" t="s">
        <v>109</v>
      </c>
      <c r="J32" s="7"/>
      <c r="K32" s="6">
        <f t="shared" si="0"/>
        <v>0</v>
      </c>
      <c r="L32" s="6">
        <f t="shared" si="1"/>
        <v>3095</v>
      </c>
      <c r="M32" s="4"/>
      <c r="N32" s="4" t="s">
        <v>110</v>
      </c>
      <c r="O32" s="4"/>
      <c r="P32" s="4" t="s">
        <v>119</v>
      </c>
    </row>
    <row r="33" spans="1:16" ht="32" customHeight="1" x14ac:dyDescent="0.2">
      <c r="A33" s="3">
        <v>45989</v>
      </c>
      <c r="B33" s="4" t="s">
        <v>83</v>
      </c>
      <c r="C33" s="4" t="s">
        <v>62</v>
      </c>
      <c r="D33" s="4" t="s">
        <v>62</v>
      </c>
      <c r="E33" s="4" t="s">
        <v>65</v>
      </c>
      <c r="F33" s="4" t="s">
        <v>46</v>
      </c>
      <c r="G33" s="6">
        <v>940</v>
      </c>
      <c r="H33" s="4" t="s">
        <v>65</v>
      </c>
      <c r="I33" s="4" t="s">
        <v>172</v>
      </c>
      <c r="J33" s="7">
        <v>0.15</v>
      </c>
      <c r="K33" s="6">
        <f t="shared" si="0"/>
        <v>141</v>
      </c>
      <c r="L33" s="6">
        <f t="shared" ref="L33:L35" si="5">IF(G33="","",G33-K33)</f>
        <v>799</v>
      </c>
      <c r="M33" s="4"/>
      <c r="N33" s="4" t="s">
        <v>110</v>
      </c>
      <c r="O33" s="4"/>
      <c r="P33" s="4" t="s">
        <v>119</v>
      </c>
    </row>
    <row r="34" spans="1:16" ht="32" customHeight="1" x14ac:dyDescent="0.2">
      <c r="A34" s="3">
        <v>45990</v>
      </c>
      <c r="B34" s="4" t="s">
        <v>83</v>
      </c>
      <c r="C34" s="4" t="s">
        <v>62</v>
      </c>
      <c r="D34" s="4" t="s">
        <v>62</v>
      </c>
      <c r="E34" s="4" t="s">
        <v>65</v>
      </c>
      <c r="F34" s="4" t="s">
        <v>46</v>
      </c>
      <c r="G34" s="6">
        <v>1590</v>
      </c>
      <c r="H34" s="4" t="s">
        <v>65</v>
      </c>
      <c r="I34" s="4" t="s">
        <v>172</v>
      </c>
      <c r="J34" s="7">
        <v>0.15</v>
      </c>
      <c r="K34" s="6">
        <f t="shared" ref="K34:K65" si="6">IF(OR(G34="",I34=""),"",IF(UPPER(I34)="YES",G34*J34,0))</f>
        <v>238.5</v>
      </c>
      <c r="L34" s="6">
        <f t="shared" si="5"/>
        <v>1351.5</v>
      </c>
      <c r="M34" s="4"/>
      <c r="N34" s="4" t="s">
        <v>110</v>
      </c>
      <c r="O34" s="4"/>
      <c r="P34" s="4" t="s">
        <v>119</v>
      </c>
    </row>
    <row r="35" spans="1:16" ht="32" customHeight="1" x14ac:dyDescent="0.2">
      <c r="A35" s="3">
        <v>45991</v>
      </c>
      <c r="B35" s="4" t="s">
        <v>83</v>
      </c>
      <c r="C35" s="4" t="s">
        <v>62</v>
      </c>
      <c r="D35" s="4" t="s">
        <v>62</v>
      </c>
      <c r="E35" s="4" t="s">
        <v>65</v>
      </c>
      <c r="F35" s="4" t="s">
        <v>46</v>
      </c>
      <c r="G35" s="6">
        <v>440</v>
      </c>
      <c r="H35" s="4" t="s">
        <v>65</v>
      </c>
      <c r="I35" s="4" t="s">
        <v>172</v>
      </c>
      <c r="J35" s="7">
        <v>0.15</v>
      </c>
      <c r="K35" s="6">
        <f t="shared" si="6"/>
        <v>66</v>
      </c>
      <c r="L35" s="6">
        <f t="shared" si="5"/>
        <v>374</v>
      </c>
      <c r="M35" s="4"/>
      <c r="N35" s="4" t="s">
        <v>110</v>
      </c>
      <c r="O35" s="4"/>
      <c r="P35" s="4" t="s">
        <v>119</v>
      </c>
    </row>
    <row r="36" spans="1:16" ht="32" customHeight="1" x14ac:dyDescent="0.2">
      <c r="A36" s="3">
        <v>45991</v>
      </c>
      <c r="B36" s="4" t="s">
        <v>83</v>
      </c>
      <c r="C36" s="4" t="s">
        <v>126</v>
      </c>
      <c r="D36" s="4" t="s">
        <v>59</v>
      </c>
      <c r="E36" s="4" t="s">
        <v>65</v>
      </c>
      <c r="F36" s="4" t="s">
        <v>46</v>
      </c>
      <c r="G36" s="6">
        <v>145</v>
      </c>
      <c r="H36" s="4" t="s">
        <v>65</v>
      </c>
      <c r="I36" s="4" t="s">
        <v>109</v>
      </c>
      <c r="J36" s="7"/>
      <c r="K36" s="6">
        <f t="shared" si="6"/>
        <v>0</v>
      </c>
      <c r="L36" s="6">
        <f t="shared" ref="L36:L65" si="7">IF(G36="","",G36+K36)</f>
        <v>145</v>
      </c>
      <c r="M36" s="4"/>
      <c r="N36" s="4" t="s">
        <v>110</v>
      </c>
      <c r="O36" s="4"/>
      <c r="P36" s="4" t="s">
        <v>119</v>
      </c>
    </row>
    <row r="37" spans="1:16" ht="32" customHeight="1" x14ac:dyDescent="0.2">
      <c r="A37" s="3">
        <v>45991</v>
      </c>
      <c r="B37" s="4" t="s">
        <v>83</v>
      </c>
      <c r="C37" s="4" t="s">
        <v>62</v>
      </c>
      <c r="D37" s="4" t="s">
        <v>62</v>
      </c>
      <c r="E37" s="4" t="s">
        <v>65</v>
      </c>
      <c r="F37" s="4" t="s">
        <v>46</v>
      </c>
      <c r="G37" s="6">
        <v>2500</v>
      </c>
      <c r="H37" s="4" t="s">
        <v>65</v>
      </c>
      <c r="I37" s="4" t="s">
        <v>172</v>
      </c>
      <c r="J37" s="7">
        <v>0.15</v>
      </c>
      <c r="K37" s="6">
        <f t="shared" si="6"/>
        <v>375</v>
      </c>
      <c r="L37" s="6">
        <f t="shared" ref="L37:L39" si="8">IF(G37="","",G37-K37)</f>
        <v>2125</v>
      </c>
      <c r="M37" s="4"/>
      <c r="N37" s="4" t="s">
        <v>110</v>
      </c>
      <c r="O37" s="4"/>
      <c r="P37" s="4" t="s">
        <v>119</v>
      </c>
    </row>
    <row r="38" spans="1:16" ht="32" customHeight="1" x14ac:dyDescent="0.2">
      <c r="A38" s="3">
        <v>45992</v>
      </c>
      <c r="B38" s="4" t="s">
        <v>83</v>
      </c>
      <c r="C38" s="4" t="s">
        <v>127</v>
      </c>
      <c r="D38" s="4" t="s">
        <v>62</v>
      </c>
      <c r="E38" s="4" t="s">
        <v>65</v>
      </c>
      <c r="F38" s="4" t="s">
        <v>46</v>
      </c>
      <c r="G38" s="6">
        <v>1000</v>
      </c>
      <c r="H38" s="4" t="s">
        <v>65</v>
      </c>
      <c r="I38" s="4" t="s">
        <v>172</v>
      </c>
      <c r="J38" s="7">
        <v>0.15</v>
      </c>
      <c r="K38" s="6">
        <f t="shared" si="6"/>
        <v>150</v>
      </c>
      <c r="L38" s="6">
        <f t="shared" si="8"/>
        <v>850</v>
      </c>
      <c r="M38" s="4"/>
      <c r="N38" s="4" t="s">
        <v>110</v>
      </c>
      <c r="O38" s="4"/>
      <c r="P38" s="4" t="s">
        <v>119</v>
      </c>
    </row>
    <row r="39" spans="1:16" ht="32" customHeight="1" x14ac:dyDescent="0.2">
      <c r="A39" s="3">
        <v>45992</v>
      </c>
      <c r="B39" s="4" t="s">
        <v>83</v>
      </c>
      <c r="C39" s="4" t="s">
        <v>128</v>
      </c>
      <c r="D39" s="4" t="s">
        <v>62</v>
      </c>
      <c r="E39" s="4" t="s">
        <v>65</v>
      </c>
      <c r="F39" s="4" t="s">
        <v>46</v>
      </c>
      <c r="G39" s="6">
        <v>440</v>
      </c>
      <c r="H39" s="4" t="s">
        <v>65</v>
      </c>
      <c r="I39" s="4" t="s">
        <v>172</v>
      </c>
      <c r="J39" s="7">
        <v>0.15</v>
      </c>
      <c r="K39" s="6">
        <f t="shared" si="6"/>
        <v>66</v>
      </c>
      <c r="L39" s="6">
        <f t="shared" si="8"/>
        <v>374</v>
      </c>
      <c r="M39" s="4"/>
      <c r="N39" s="4" t="s">
        <v>110</v>
      </c>
      <c r="O39" s="4"/>
      <c r="P39" s="4" t="s">
        <v>119</v>
      </c>
    </row>
    <row r="40" spans="1:16" ht="32" customHeight="1" x14ac:dyDescent="0.2">
      <c r="A40" s="3">
        <v>45993</v>
      </c>
      <c r="B40" s="4" t="s">
        <v>83</v>
      </c>
      <c r="C40" s="4" t="s">
        <v>126</v>
      </c>
      <c r="D40" s="4" t="s">
        <v>59</v>
      </c>
      <c r="E40" s="4" t="s">
        <v>65</v>
      </c>
      <c r="F40" s="4" t="s">
        <v>46</v>
      </c>
      <c r="G40" s="6">
        <v>2775</v>
      </c>
      <c r="H40" s="4" t="s">
        <v>65</v>
      </c>
      <c r="I40" s="4" t="s">
        <v>109</v>
      </c>
      <c r="J40" s="7"/>
      <c r="K40" s="6">
        <f t="shared" si="6"/>
        <v>0</v>
      </c>
      <c r="L40" s="6">
        <f t="shared" si="7"/>
        <v>2775</v>
      </c>
      <c r="M40" s="4"/>
      <c r="N40" s="4" t="s">
        <v>110</v>
      </c>
      <c r="O40" s="4"/>
      <c r="P40" s="4" t="s">
        <v>119</v>
      </c>
    </row>
    <row r="41" spans="1:16" ht="32" customHeight="1" x14ac:dyDescent="0.2">
      <c r="A41" s="3">
        <v>45993</v>
      </c>
      <c r="B41" s="4" t="s">
        <v>83</v>
      </c>
      <c r="C41" s="4" t="s">
        <v>62</v>
      </c>
      <c r="D41" s="4" t="s">
        <v>62</v>
      </c>
      <c r="E41" s="4" t="s">
        <v>65</v>
      </c>
      <c r="F41" s="4" t="s">
        <v>46</v>
      </c>
      <c r="G41" s="6">
        <v>7000</v>
      </c>
      <c r="H41" s="4" t="s">
        <v>65</v>
      </c>
      <c r="I41" s="4" t="s">
        <v>172</v>
      </c>
      <c r="J41" s="7">
        <v>0.15</v>
      </c>
      <c r="K41" s="6">
        <f t="shared" si="6"/>
        <v>1050</v>
      </c>
      <c r="L41" s="6">
        <f>IF(G41="","",G41-K41)</f>
        <v>5950</v>
      </c>
      <c r="M41" s="4"/>
      <c r="N41" s="4" t="s">
        <v>110</v>
      </c>
      <c r="O41" s="4"/>
      <c r="P41" s="4" t="s">
        <v>119</v>
      </c>
    </row>
    <row r="42" spans="1:16" ht="32" customHeight="1" x14ac:dyDescent="0.2">
      <c r="A42" s="3">
        <v>45993</v>
      </c>
      <c r="B42" s="4" t="s">
        <v>83</v>
      </c>
      <c r="C42" s="4" t="s">
        <v>113</v>
      </c>
      <c r="D42" s="4" t="s">
        <v>59</v>
      </c>
      <c r="E42" s="4" t="s">
        <v>65</v>
      </c>
      <c r="F42" s="4" t="s">
        <v>46</v>
      </c>
      <c r="G42" s="6">
        <v>818</v>
      </c>
      <c r="H42" s="4" t="s">
        <v>65</v>
      </c>
      <c r="I42" s="4" t="s">
        <v>109</v>
      </c>
      <c r="J42" s="7"/>
      <c r="K42" s="6">
        <f t="shared" si="6"/>
        <v>0</v>
      </c>
      <c r="L42" s="6">
        <f t="shared" si="7"/>
        <v>818</v>
      </c>
      <c r="M42" s="4"/>
      <c r="N42" s="4" t="s">
        <v>110</v>
      </c>
      <c r="O42" s="4"/>
      <c r="P42" s="4" t="s">
        <v>119</v>
      </c>
    </row>
    <row r="43" spans="1:16" ht="32" customHeight="1" x14ac:dyDescent="0.2">
      <c r="A43" s="3">
        <v>45993</v>
      </c>
      <c r="B43" s="4" t="s">
        <v>83</v>
      </c>
      <c r="C43" s="4" t="s">
        <v>62</v>
      </c>
      <c r="D43" s="4" t="s">
        <v>62</v>
      </c>
      <c r="E43" s="4" t="s">
        <v>65</v>
      </c>
      <c r="F43" s="4" t="s">
        <v>46</v>
      </c>
      <c r="G43" s="6">
        <v>122.74</v>
      </c>
      <c r="H43" s="4" t="s">
        <v>65</v>
      </c>
      <c r="I43" s="4" t="s">
        <v>172</v>
      </c>
      <c r="J43" s="7">
        <v>0.15</v>
      </c>
      <c r="K43" s="6">
        <f t="shared" si="6"/>
        <v>18.410999999999998</v>
      </c>
      <c r="L43" s="6">
        <f t="shared" ref="L43:L44" si="9">IF(G43="","",G43-K43)</f>
        <v>104.32899999999999</v>
      </c>
      <c r="M43" s="4"/>
      <c r="N43" s="4" t="s">
        <v>110</v>
      </c>
      <c r="O43" s="4"/>
      <c r="P43" s="4" t="s">
        <v>119</v>
      </c>
    </row>
    <row r="44" spans="1:16" ht="32" customHeight="1" x14ac:dyDescent="0.2">
      <c r="A44" s="3">
        <v>45994</v>
      </c>
      <c r="B44" s="4" t="s">
        <v>83</v>
      </c>
      <c r="C44" s="4" t="s">
        <v>62</v>
      </c>
      <c r="D44" s="4" t="s">
        <v>62</v>
      </c>
      <c r="E44" s="4" t="s">
        <v>65</v>
      </c>
      <c r="F44" s="4" t="s">
        <v>46</v>
      </c>
      <c r="G44" s="6">
        <v>2850</v>
      </c>
      <c r="H44" s="4" t="s">
        <v>65</v>
      </c>
      <c r="I44" s="4" t="s">
        <v>172</v>
      </c>
      <c r="J44" s="7">
        <v>0.15</v>
      </c>
      <c r="K44" s="6">
        <f t="shared" si="6"/>
        <v>427.5</v>
      </c>
      <c r="L44" s="6">
        <f t="shared" si="9"/>
        <v>2422.5</v>
      </c>
      <c r="M44" s="4"/>
      <c r="N44" s="4" t="s">
        <v>110</v>
      </c>
      <c r="O44" s="4"/>
      <c r="P44" s="4" t="s">
        <v>119</v>
      </c>
    </row>
    <row r="45" spans="1:16" ht="32" customHeight="1" x14ac:dyDescent="0.2">
      <c r="A45" s="3">
        <v>45994</v>
      </c>
      <c r="B45" s="4" t="s">
        <v>83</v>
      </c>
      <c r="C45" s="4" t="s">
        <v>129</v>
      </c>
      <c r="D45" s="4" t="s">
        <v>50</v>
      </c>
      <c r="E45" s="4" t="s">
        <v>65</v>
      </c>
      <c r="F45" s="4" t="s">
        <v>46</v>
      </c>
      <c r="G45" s="6">
        <v>810</v>
      </c>
      <c r="H45" s="4" t="s">
        <v>65</v>
      </c>
      <c r="I45" s="4" t="s">
        <v>109</v>
      </c>
      <c r="J45" s="7"/>
      <c r="K45" s="6">
        <f t="shared" si="6"/>
        <v>0</v>
      </c>
      <c r="L45" s="6">
        <f t="shared" si="7"/>
        <v>810</v>
      </c>
      <c r="M45" s="4"/>
      <c r="N45" s="4" t="s">
        <v>110</v>
      </c>
      <c r="O45" s="4"/>
      <c r="P45" s="4" t="s">
        <v>119</v>
      </c>
    </row>
    <row r="46" spans="1:16" ht="32" customHeight="1" x14ac:dyDescent="0.2">
      <c r="A46" s="3">
        <v>45996</v>
      </c>
      <c r="B46" s="4" t="s">
        <v>83</v>
      </c>
      <c r="C46" s="4" t="s">
        <v>130</v>
      </c>
      <c r="D46" s="4" t="s">
        <v>59</v>
      </c>
      <c r="E46" s="4" t="s">
        <v>65</v>
      </c>
      <c r="F46" s="4" t="s">
        <v>46</v>
      </c>
      <c r="G46" s="6">
        <v>942.21</v>
      </c>
      <c r="H46" s="4" t="s">
        <v>65</v>
      </c>
      <c r="I46" s="4" t="s">
        <v>109</v>
      </c>
      <c r="J46" s="7"/>
      <c r="K46" s="6">
        <f t="shared" si="6"/>
        <v>0</v>
      </c>
      <c r="L46" s="6">
        <f t="shared" si="7"/>
        <v>942.21</v>
      </c>
      <c r="M46" s="4"/>
      <c r="N46" s="4" t="s">
        <v>110</v>
      </c>
      <c r="O46" s="4"/>
      <c r="P46" s="4" t="s">
        <v>119</v>
      </c>
    </row>
    <row r="47" spans="1:16" ht="32" customHeight="1" x14ac:dyDescent="0.2">
      <c r="A47" s="3">
        <v>45969</v>
      </c>
      <c r="B47" s="4" t="s">
        <v>83</v>
      </c>
      <c r="C47" s="4" t="s">
        <v>131</v>
      </c>
      <c r="D47" s="4" t="s">
        <v>64</v>
      </c>
      <c r="E47" s="4" t="s">
        <v>61</v>
      </c>
      <c r="F47" s="4" t="s">
        <v>46</v>
      </c>
      <c r="G47" s="6">
        <v>600</v>
      </c>
      <c r="H47" s="4" t="s">
        <v>61</v>
      </c>
      <c r="I47" s="4" t="s">
        <v>109</v>
      </c>
      <c r="J47" s="7"/>
      <c r="K47" s="6">
        <f t="shared" si="6"/>
        <v>0</v>
      </c>
      <c r="L47" s="6">
        <f t="shared" si="7"/>
        <v>600</v>
      </c>
      <c r="M47" s="4"/>
      <c r="N47" s="4" t="s">
        <v>110</v>
      </c>
      <c r="O47" s="4"/>
      <c r="P47" s="4" t="s">
        <v>132</v>
      </c>
    </row>
    <row r="48" spans="1:16" ht="32" customHeight="1" x14ac:dyDescent="0.2">
      <c r="A48" s="3">
        <v>45973</v>
      </c>
      <c r="B48" s="4" t="s">
        <v>83</v>
      </c>
      <c r="C48" s="4" t="s">
        <v>131</v>
      </c>
      <c r="D48" s="4" t="s">
        <v>64</v>
      </c>
      <c r="E48" s="4" t="s">
        <v>61</v>
      </c>
      <c r="F48" s="4" t="s">
        <v>46</v>
      </c>
      <c r="G48" s="6">
        <v>600</v>
      </c>
      <c r="H48" s="4" t="s">
        <v>61</v>
      </c>
      <c r="I48" s="4" t="s">
        <v>109</v>
      </c>
      <c r="J48" s="7"/>
      <c r="K48" s="6">
        <f t="shared" si="6"/>
        <v>0</v>
      </c>
      <c r="L48" s="6">
        <f t="shared" si="7"/>
        <v>600</v>
      </c>
      <c r="M48" s="4"/>
      <c r="N48" s="4" t="s">
        <v>110</v>
      </c>
      <c r="O48" s="4"/>
      <c r="P48" s="4" t="s">
        <v>132</v>
      </c>
    </row>
    <row r="49" spans="1:16" ht="32" customHeight="1" x14ac:dyDescent="0.2">
      <c r="A49" s="3">
        <v>45975</v>
      </c>
      <c r="B49" s="4" t="s">
        <v>83</v>
      </c>
      <c r="C49" s="4" t="s">
        <v>131</v>
      </c>
      <c r="D49" s="4" t="s">
        <v>64</v>
      </c>
      <c r="E49" s="4" t="s">
        <v>61</v>
      </c>
      <c r="F49" s="4" t="s">
        <v>46</v>
      </c>
      <c r="G49" s="6">
        <v>600</v>
      </c>
      <c r="H49" s="4" t="s">
        <v>61</v>
      </c>
      <c r="I49" s="4" t="s">
        <v>109</v>
      </c>
      <c r="J49" s="7"/>
      <c r="K49" s="6">
        <f t="shared" si="6"/>
        <v>0</v>
      </c>
      <c r="L49" s="6">
        <f t="shared" si="7"/>
        <v>600</v>
      </c>
      <c r="M49" s="4"/>
      <c r="N49" s="4" t="s">
        <v>110</v>
      </c>
      <c r="O49" s="4"/>
      <c r="P49" s="4" t="s">
        <v>132</v>
      </c>
    </row>
    <row r="50" spans="1:16" ht="32" customHeight="1" x14ac:dyDescent="0.2">
      <c r="A50" s="3">
        <v>45977</v>
      </c>
      <c r="B50" s="4" t="s">
        <v>83</v>
      </c>
      <c r="C50" s="4" t="s">
        <v>131</v>
      </c>
      <c r="D50" s="4" t="s">
        <v>64</v>
      </c>
      <c r="E50" s="4" t="s">
        <v>61</v>
      </c>
      <c r="F50" s="4" t="s">
        <v>46</v>
      </c>
      <c r="G50" s="6">
        <v>600</v>
      </c>
      <c r="H50" s="4" t="s">
        <v>61</v>
      </c>
      <c r="I50" s="4" t="s">
        <v>109</v>
      </c>
      <c r="J50" s="7"/>
      <c r="K50" s="6">
        <f t="shared" si="6"/>
        <v>0</v>
      </c>
      <c r="L50" s="6">
        <f t="shared" si="7"/>
        <v>600</v>
      </c>
      <c r="M50" s="4"/>
      <c r="N50" s="4" t="s">
        <v>110</v>
      </c>
      <c r="O50" s="4"/>
      <c r="P50" s="4" t="s">
        <v>132</v>
      </c>
    </row>
    <row r="51" spans="1:16" ht="32" customHeight="1" x14ac:dyDescent="0.2">
      <c r="A51" s="3">
        <v>45978</v>
      </c>
      <c r="B51" s="4" t="s">
        <v>83</v>
      </c>
      <c r="C51" s="4" t="s">
        <v>131</v>
      </c>
      <c r="D51" s="4" t="s">
        <v>64</v>
      </c>
      <c r="E51" s="4" t="s">
        <v>61</v>
      </c>
      <c r="F51" s="4" t="s">
        <v>46</v>
      </c>
      <c r="G51" s="6">
        <v>600</v>
      </c>
      <c r="H51" s="4" t="s">
        <v>61</v>
      </c>
      <c r="I51" s="4" t="s">
        <v>109</v>
      </c>
      <c r="J51" s="7"/>
      <c r="K51" s="6">
        <f t="shared" si="6"/>
        <v>0</v>
      </c>
      <c r="L51" s="6">
        <f t="shared" si="7"/>
        <v>600</v>
      </c>
      <c r="M51" s="4"/>
      <c r="N51" s="4" t="s">
        <v>110</v>
      </c>
      <c r="O51" s="4"/>
      <c r="P51" s="4" t="s">
        <v>132</v>
      </c>
    </row>
    <row r="52" spans="1:16" ht="32" customHeight="1" x14ac:dyDescent="0.2">
      <c r="A52" s="3">
        <v>45982</v>
      </c>
      <c r="B52" s="4" t="s">
        <v>83</v>
      </c>
      <c r="C52" s="4" t="s">
        <v>131</v>
      </c>
      <c r="D52" s="4" t="s">
        <v>64</v>
      </c>
      <c r="E52" s="4" t="s">
        <v>61</v>
      </c>
      <c r="F52" s="4" t="s">
        <v>46</v>
      </c>
      <c r="G52" s="6">
        <v>600</v>
      </c>
      <c r="H52" s="4" t="s">
        <v>61</v>
      </c>
      <c r="I52" s="4" t="s">
        <v>109</v>
      </c>
      <c r="J52" s="7"/>
      <c r="K52" s="6">
        <f t="shared" si="6"/>
        <v>0</v>
      </c>
      <c r="L52" s="6">
        <f t="shared" si="7"/>
        <v>600</v>
      </c>
      <c r="M52" s="4"/>
      <c r="N52" s="4" t="s">
        <v>110</v>
      </c>
      <c r="O52" s="4"/>
      <c r="P52" s="4" t="s">
        <v>132</v>
      </c>
    </row>
    <row r="53" spans="1:16" ht="32" customHeight="1" x14ac:dyDescent="0.2">
      <c r="A53" s="3">
        <v>45983</v>
      </c>
      <c r="B53" s="4" t="s">
        <v>83</v>
      </c>
      <c r="C53" s="4" t="s">
        <v>131</v>
      </c>
      <c r="D53" s="4" t="s">
        <v>64</v>
      </c>
      <c r="E53" s="4" t="s">
        <v>61</v>
      </c>
      <c r="F53" s="4" t="s">
        <v>46</v>
      </c>
      <c r="G53" s="6">
        <v>600</v>
      </c>
      <c r="H53" s="4" t="s">
        <v>61</v>
      </c>
      <c r="I53" s="4" t="s">
        <v>109</v>
      </c>
      <c r="J53" s="7"/>
      <c r="K53" s="6">
        <f t="shared" si="6"/>
        <v>0</v>
      </c>
      <c r="L53" s="6">
        <f t="shared" si="7"/>
        <v>600</v>
      </c>
      <c r="M53" s="4"/>
      <c r="N53" s="4" t="s">
        <v>110</v>
      </c>
      <c r="O53" s="4"/>
      <c r="P53" s="4" t="s">
        <v>132</v>
      </c>
    </row>
    <row r="54" spans="1:16" ht="32" customHeight="1" x14ac:dyDescent="0.2">
      <c r="A54" s="3">
        <v>45984</v>
      </c>
      <c r="B54" s="4" t="s">
        <v>83</v>
      </c>
      <c r="C54" s="4" t="s">
        <v>131</v>
      </c>
      <c r="D54" s="4" t="s">
        <v>64</v>
      </c>
      <c r="E54" s="4" t="s">
        <v>61</v>
      </c>
      <c r="F54" s="4" t="s">
        <v>46</v>
      </c>
      <c r="G54" s="6">
        <v>600</v>
      </c>
      <c r="H54" s="4" t="s">
        <v>61</v>
      </c>
      <c r="I54" s="4" t="s">
        <v>109</v>
      </c>
      <c r="J54" s="7"/>
      <c r="K54" s="6">
        <f t="shared" si="6"/>
        <v>0</v>
      </c>
      <c r="L54" s="6">
        <f t="shared" si="7"/>
        <v>600</v>
      </c>
      <c r="M54" s="4"/>
      <c r="N54" s="4" t="s">
        <v>110</v>
      </c>
      <c r="O54" s="4"/>
      <c r="P54" s="4" t="s">
        <v>132</v>
      </c>
    </row>
    <row r="55" spans="1:16" ht="32" customHeight="1" x14ac:dyDescent="0.2">
      <c r="A55" s="3">
        <v>45985</v>
      </c>
      <c r="B55" s="4" t="s">
        <v>83</v>
      </c>
      <c r="C55" s="4" t="s">
        <v>131</v>
      </c>
      <c r="D55" s="4" t="s">
        <v>64</v>
      </c>
      <c r="E55" s="4" t="s">
        <v>61</v>
      </c>
      <c r="F55" s="4" t="s">
        <v>46</v>
      </c>
      <c r="G55" s="6">
        <v>600</v>
      </c>
      <c r="H55" s="4" t="s">
        <v>61</v>
      </c>
      <c r="I55" s="4" t="s">
        <v>109</v>
      </c>
      <c r="J55" s="7"/>
      <c r="K55" s="6">
        <f t="shared" si="6"/>
        <v>0</v>
      </c>
      <c r="L55" s="6">
        <f t="shared" si="7"/>
        <v>600</v>
      </c>
      <c r="M55" s="4"/>
      <c r="N55" s="4" t="s">
        <v>110</v>
      </c>
      <c r="O55" s="4"/>
      <c r="P55" s="4" t="s">
        <v>132</v>
      </c>
    </row>
    <row r="56" spans="1:16" ht="32" customHeight="1" x14ac:dyDescent="0.2">
      <c r="A56" s="3">
        <v>45986</v>
      </c>
      <c r="B56" s="4" t="s">
        <v>83</v>
      </c>
      <c r="C56" s="4" t="s">
        <v>131</v>
      </c>
      <c r="D56" s="4" t="s">
        <v>64</v>
      </c>
      <c r="E56" s="4" t="s">
        <v>61</v>
      </c>
      <c r="F56" s="4" t="s">
        <v>46</v>
      </c>
      <c r="G56" s="6">
        <v>600</v>
      </c>
      <c r="H56" s="4" t="s">
        <v>61</v>
      </c>
      <c r="I56" s="4" t="s">
        <v>109</v>
      </c>
      <c r="J56" s="7"/>
      <c r="K56" s="6">
        <f t="shared" si="6"/>
        <v>0</v>
      </c>
      <c r="L56" s="6">
        <f t="shared" si="7"/>
        <v>600</v>
      </c>
      <c r="M56" s="4"/>
      <c r="N56" s="4" t="s">
        <v>110</v>
      </c>
      <c r="O56" s="4"/>
      <c r="P56" s="4" t="s">
        <v>132</v>
      </c>
    </row>
    <row r="57" spans="1:16" ht="32" customHeight="1" x14ac:dyDescent="0.2">
      <c r="A57" s="3">
        <v>45987</v>
      </c>
      <c r="B57" s="4" t="s">
        <v>83</v>
      </c>
      <c r="C57" s="4" t="s">
        <v>131</v>
      </c>
      <c r="D57" s="4" t="s">
        <v>64</v>
      </c>
      <c r="E57" s="4" t="s">
        <v>61</v>
      </c>
      <c r="F57" s="4" t="s">
        <v>46</v>
      </c>
      <c r="G57" s="6">
        <v>600</v>
      </c>
      <c r="H57" s="4" t="s">
        <v>61</v>
      </c>
      <c r="I57" s="4" t="s">
        <v>109</v>
      </c>
      <c r="J57" s="7"/>
      <c r="K57" s="6">
        <f t="shared" si="6"/>
        <v>0</v>
      </c>
      <c r="L57" s="6">
        <f t="shared" si="7"/>
        <v>600</v>
      </c>
      <c r="M57" s="4"/>
      <c r="N57" s="4" t="s">
        <v>110</v>
      </c>
      <c r="O57" s="4"/>
      <c r="P57" s="4" t="s">
        <v>132</v>
      </c>
    </row>
    <row r="58" spans="1:16" ht="32" customHeight="1" x14ac:dyDescent="0.2">
      <c r="A58" s="3">
        <v>45988</v>
      </c>
      <c r="B58" s="4" t="s">
        <v>83</v>
      </c>
      <c r="C58" s="4" t="s">
        <v>131</v>
      </c>
      <c r="D58" s="4" t="s">
        <v>64</v>
      </c>
      <c r="E58" s="4" t="s">
        <v>61</v>
      </c>
      <c r="F58" s="4" t="s">
        <v>46</v>
      </c>
      <c r="G58" s="6">
        <v>600</v>
      </c>
      <c r="H58" s="4" t="s">
        <v>61</v>
      </c>
      <c r="I58" s="4" t="s">
        <v>109</v>
      </c>
      <c r="J58" s="7"/>
      <c r="K58" s="6">
        <f t="shared" si="6"/>
        <v>0</v>
      </c>
      <c r="L58" s="6">
        <f t="shared" si="7"/>
        <v>600</v>
      </c>
      <c r="M58" s="4"/>
      <c r="N58" s="4" t="s">
        <v>110</v>
      </c>
      <c r="O58" s="4"/>
      <c r="P58" s="4" t="s">
        <v>132</v>
      </c>
    </row>
    <row r="59" spans="1:16" ht="32" customHeight="1" x14ac:dyDescent="0.2">
      <c r="A59" s="3">
        <v>45989</v>
      </c>
      <c r="B59" s="4" t="s">
        <v>83</v>
      </c>
      <c r="C59" s="4" t="s">
        <v>131</v>
      </c>
      <c r="D59" s="4" t="s">
        <v>64</v>
      </c>
      <c r="E59" s="4" t="s">
        <v>61</v>
      </c>
      <c r="F59" s="4" t="s">
        <v>46</v>
      </c>
      <c r="G59" s="6">
        <v>600</v>
      </c>
      <c r="H59" s="4" t="s">
        <v>61</v>
      </c>
      <c r="I59" s="4" t="s">
        <v>109</v>
      </c>
      <c r="J59" s="7"/>
      <c r="K59" s="6">
        <f t="shared" si="6"/>
        <v>0</v>
      </c>
      <c r="L59" s="6">
        <f t="shared" si="7"/>
        <v>600</v>
      </c>
      <c r="M59" s="4"/>
      <c r="N59" s="4" t="s">
        <v>110</v>
      </c>
      <c r="O59" s="4"/>
      <c r="P59" s="4" t="s">
        <v>132</v>
      </c>
    </row>
    <row r="60" spans="1:16" ht="32" customHeight="1" x14ac:dyDescent="0.2">
      <c r="A60" s="3">
        <v>45969</v>
      </c>
      <c r="B60" s="4" t="s">
        <v>83</v>
      </c>
      <c r="C60" s="4" t="s">
        <v>131</v>
      </c>
      <c r="D60" s="4" t="s">
        <v>64</v>
      </c>
      <c r="E60" s="4" t="s">
        <v>61</v>
      </c>
      <c r="F60" s="4" t="s">
        <v>46</v>
      </c>
      <c r="G60" s="6">
        <v>600</v>
      </c>
      <c r="H60" s="4" t="s">
        <v>61</v>
      </c>
      <c r="I60" s="4" t="s">
        <v>109</v>
      </c>
      <c r="J60" s="7"/>
      <c r="K60" s="6">
        <f t="shared" si="6"/>
        <v>0</v>
      </c>
      <c r="L60" s="6">
        <f t="shared" si="7"/>
        <v>600</v>
      </c>
      <c r="M60" s="4"/>
      <c r="N60" s="4" t="s">
        <v>110</v>
      </c>
      <c r="O60" s="4"/>
      <c r="P60" s="4" t="s">
        <v>132</v>
      </c>
    </row>
    <row r="61" spans="1:16" ht="32" customHeight="1" x14ac:dyDescent="0.2">
      <c r="A61" s="3">
        <v>45991</v>
      </c>
      <c r="B61" s="4" t="s">
        <v>83</v>
      </c>
      <c r="C61" s="4" t="s">
        <v>131</v>
      </c>
      <c r="D61" s="4" t="s">
        <v>64</v>
      </c>
      <c r="E61" s="4" t="s">
        <v>61</v>
      </c>
      <c r="F61" s="4" t="s">
        <v>46</v>
      </c>
      <c r="G61" s="6">
        <v>600</v>
      </c>
      <c r="H61" s="4" t="s">
        <v>61</v>
      </c>
      <c r="I61" s="4" t="s">
        <v>109</v>
      </c>
      <c r="J61" s="7"/>
      <c r="K61" s="6">
        <f t="shared" si="6"/>
        <v>0</v>
      </c>
      <c r="L61" s="6">
        <f t="shared" si="7"/>
        <v>600</v>
      </c>
      <c r="M61" s="4"/>
      <c r="N61" s="4" t="s">
        <v>110</v>
      </c>
      <c r="O61" s="4"/>
      <c r="P61" s="4" t="s">
        <v>132</v>
      </c>
    </row>
    <row r="62" spans="1:16" ht="32" customHeight="1" x14ac:dyDescent="0.2">
      <c r="A62" s="3">
        <v>45992</v>
      </c>
      <c r="B62" s="4" t="s">
        <v>83</v>
      </c>
      <c r="C62" s="4" t="s">
        <v>131</v>
      </c>
      <c r="D62" s="4" t="s">
        <v>64</v>
      </c>
      <c r="E62" s="4" t="s">
        <v>61</v>
      </c>
      <c r="F62" s="4" t="s">
        <v>46</v>
      </c>
      <c r="G62" s="6">
        <v>600</v>
      </c>
      <c r="H62" s="4" t="s">
        <v>61</v>
      </c>
      <c r="I62" s="4" t="s">
        <v>109</v>
      </c>
      <c r="J62" s="7"/>
      <c r="K62" s="6">
        <f t="shared" si="6"/>
        <v>0</v>
      </c>
      <c r="L62" s="6">
        <f t="shared" si="7"/>
        <v>600</v>
      </c>
      <c r="M62" s="4"/>
      <c r="N62" s="4" t="s">
        <v>110</v>
      </c>
      <c r="O62" s="4"/>
      <c r="P62" s="4" t="s">
        <v>132</v>
      </c>
    </row>
    <row r="63" spans="1:16" ht="32" customHeight="1" x14ac:dyDescent="0.2">
      <c r="A63" s="3">
        <v>45993</v>
      </c>
      <c r="B63" s="4" t="s">
        <v>83</v>
      </c>
      <c r="C63" s="4" t="s">
        <v>131</v>
      </c>
      <c r="D63" s="4" t="s">
        <v>64</v>
      </c>
      <c r="E63" s="4" t="s">
        <v>61</v>
      </c>
      <c r="F63" s="4" t="s">
        <v>46</v>
      </c>
      <c r="G63" s="6">
        <v>600</v>
      </c>
      <c r="H63" s="4" t="s">
        <v>61</v>
      </c>
      <c r="I63" s="4" t="s">
        <v>109</v>
      </c>
      <c r="J63" s="7"/>
      <c r="K63" s="6">
        <f t="shared" si="6"/>
        <v>0</v>
      </c>
      <c r="L63" s="6">
        <f t="shared" si="7"/>
        <v>600</v>
      </c>
      <c r="M63" s="4"/>
      <c r="N63" s="4" t="s">
        <v>110</v>
      </c>
      <c r="O63" s="4"/>
      <c r="P63" s="4" t="s">
        <v>132</v>
      </c>
    </row>
    <row r="64" spans="1:16" ht="32" customHeight="1" x14ac:dyDescent="0.2">
      <c r="A64" s="3">
        <v>45994</v>
      </c>
      <c r="B64" s="4" t="s">
        <v>83</v>
      </c>
      <c r="C64" s="4" t="s">
        <v>131</v>
      </c>
      <c r="D64" s="4" t="s">
        <v>64</v>
      </c>
      <c r="E64" s="4" t="s">
        <v>61</v>
      </c>
      <c r="F64" s="4" t="s">
        <v>46</v>
      </c>
      <c r="G64" s="6">
        <v>600</v>
      </c>
      <c r="H64" s="4" t="s">
        <v>61</v>
      </c>
      <c r="I64" s="4" t="s">
        <v>109</v>
      </c>
      <c r="J64" s="7"/>
      <c r="K64" s="6">
        <f t="shared" si="6"/>
        <v>0</v>
      </c>
      <c r="L64" s="6">
        <f t="shared" si="7"/>
        <v>600</v>
      </c>
      <c r="M64" s="4"/>
      <c r="N64" s="4" t="s">
        <v>110</v>
      </c>
      <c r="O64" s="4"/>
      <c r="P64" s="4" t="s">
        <v>132</v>
      </c>
    </row>
    <row r="65" spans="1:16" ht="32" customHeight="1" x14ac:dyDescent="0.2">
      <c r="A65" s="3">
        <v>45995</v>
      </c>
      <c r="B65" s="4" t="s">
        <v>83</v>
      </c>
      <c r="C65" s="4" t="s">
        <v>131</v>
      </c>
      <c r="D65" s="4" t="s">
        <v>64</v>
      </c>
      <c r="E65" s="4" t="s">
        <v>61</v>
      </c>
      <c r="F65" s="4" t="s">
        <v>46</v>
      </c>
      <c r="G65" s="6">
        <v>600</v>
      </c>
      <c r="H65" s="4" t="s">
        <v>61</v>
      </c>
      <c r="I65" s="4" t="s">
        <v>109</v>
      </c>
      <c r="J65" s="7"/>
      <c r="K65" s="6">
        <f t="shared" si="6"/>
        <v>0</v>
      </c>
      <c r="L65" s="6">
        <f t="shared" si="7"/>
        <v>600</v>
      </c>
      <c r="M65" s="4"/>
      <c r="N65" s="4" t="s">
        <v>110</v>
      </c>
      <c r="O65" s="4"/>
      <c r="P65" s="4" t="s">
        <v>132</v>
      </c>
    </row>
    <row r="66" spans="1:16" ht="32" customHeight="1" x14ac:dyDescent="0.2">
      <c r="A66" s="3">
        <v>45996</v>
      </c>
      <c r="B66" s="4" t="s">
        <v>83</v>
      </c>
      <c r="C66" s="4" t="s">
        <v>131</v>
      </c>
      <c r="D66" s="4" t="s">
        <v>64</v>
      </c>
      <c r="E66" s="4" t="s">
        <v>61</v>
      </c>
      <c r="F66" s="4" t="s">
        <v>46</v>
      </c>
      <c r="G66" s="6">
        <v>600</v>
      </c>
      <c r="H66" s="4" t="s">
        <v>61</v>
      </c>
      <c r="I66" s="4" t="s">
        <v>109</v>
      </c>
      <c r="J66" s="7"/>
      <c r="K66" s="6">
        <f t="shared" ref="K66:K97" si="10">IF(OR(G66="",I66=""),"",IF(UPPER(I66)="YES",G66*J66,0))</f>
        <v>0</v>
      </c>
      <c r="L66" s="6">
        <f t="shared" ref="L66:L97" si="11">IF(G66="","",G66+K66)</f>
        <v>600</v>
      </c>
      <c r="M66" s="4"/>
      <c r="N66" s="4" t="s">
        <v>110</v>
      </c>
      <c r="O66" s="4"/>
      <c r="P66" s="4" t="s">
        <v>132</v>
      </c>
    </row>
    <row r="67" spans="1:16" ht="32" customHeight="1" x14ac:dyDescent="0.2">
      <c r="A67" s="3">
        <v>45959</v>
      </c>
      <c r="B67" s="4" t="s">
        <v>83</v>
      </c>
      <c r="C67" s="4" t="s">
        <v>131</v>
      </c>
      <c r="D67" s="4" t="s">
        <v>64</v>
      </c>
      <c r="E67" s="4" t="s">
        <v>63</v>
      </c>
      <c r="F67" s="4" t="s">
        <v>46</v>
      </c>
      <c r="G67" s="6">
        <v>1200</v>
      </c>
      <c r="H67" s="4" t="s">
        <v>63</v>
      </c>
      <c r="I67" s="4" t="s">
        <v>109</v>
      </c>
      <c r="J67" s="7"/>
      <c r="K67" s="6">
        <f t="shared" si="10"/>
        <v>0</v>
      </c>
      <c r="L67" s="6">
        <f t="shared" si="11"/>
        <v>1200</v>
      </c>
      <c r="M67" s="4"/>
      <c r="N67" s="4" t="s">
        <v>110</v>
      </c>
      <c r="O67" s="4"/>
      <c r="P67" s="4" t="s">
        <v>133</v>
      </c>
    </row>
    <row r="68" spans="1:16" ht="32" customHeight="1" x14ac:dyDescent="0.2">
      <c r="A68" s="3">
        <v>45959</v>
      </c>
      <c r="B68" s="4" t="s">
        <v>83</v>
      </c>
      <c r="C68" s="4" t="s">
        <v>62</v>
      </c>
      <c r="D68" s="4" t="s">
        <v>62</v>
      </c>
      <c r="E68" s="4" t="s">
        <v>63</v>
      </c>
      <c r="F68" s="4" t="s">
        <v>46</v>
      </c>
      <c r="G68" s="6">
        <v>1193</v>
      </c>
      <c r="H68" s="4" t="s">
        <v>63</v>
      </c>
      <c r="I68" s="4" t="s">
        <v>172</v>
      </c>
      <c r="J68" s="7">
        <v>0.15</v>
      </c>
      <c r="K68" s="6">
        <f t="shared" si="10"/>
        <v>178.95</v>
      </c>
      <c r="L68" s="6">
        <f>IF(G68="","",G68-K68)</f>
        <v>1014.05</v>
      </c>
      <c r="M68" s="4"/>
      <c r="N68" s="4" t="s">
        <v>110</v>
      </c>
      <c r="O68" s="4"/>
      <c r="P68" s="4" t="s">
        <v>133</v>
      </c>
    </row>
    <row r="69" spans="1:16" ht="32" customHeight="1" x14ac:dyDescent="0.2">
      <c r="A69" s="3">
        <v>45969</v>
      </c>
      <c r="B69" s="4" t="s">
        <v>83</v>
      </c>
      <c r="C69" s="4" t="s">
        <v>131</v>
      </c>
      <c r="D69" s="4" t="s">
        <v>64</v>
      </c>
      <c r="E69" s="4" t="s">
        <v>63</v>
      </c>
      <c r="F69" s="4" t="s">
        <v>46</v>
      </c>
      <c r="G69" s="6">
        <v>1200</v>
      </c>
      <c r="H69" s="4" t="s">
        <v>63</v>
      </c>
      <c r="I69" s="4" t="s">
        <v>109</v>
      </c>
      <c r="J69" s="7"/>
      <c r="K69" s="6">
        <f t="shared" si="10"/>
        <v>0</v>
      </c>
      <c r="L69" s="6">
        <f t="shared" si="11"/>
        <v>1200</v>
      </c>
      <c r="M69" s="4"/>
      <c r="N69" s="4" t="s">
        <v>110</v>
      </c>
      <c r="O69" s="4"/>
      <c r="P69" s="4" t="s">
        <v>133</v>
      </c>
    </row>
    <row r="70" spans="1:16" ht="32" customHeight="1" x14ac:dyDescent="0.2">
      <c r="A70" s="3">
        <v>45969</v>
      </c>
      <c r="B70" s="4" t="s">
        <v>83</v>
      </c>
      <c r="C70" s="4" t="s">
        <v>62</v>
      </c>
      <c r="D70" s="4" t="s">
        <v>62</v>
      </c>
      <c r="E70" s="4" t="s">
        <v>63</v>
      </c>
      <c r="F70" s="4" t="s">
        <v>46</v>
      </c>
      <c r="G70" s="6">
        <v>830</v>
      </c>
      <c r="H70" s="4" t="s">
        <v>63</v>
      </c>
      <c r="I70" s="4" t="s">
        <v>172</v>
      </c>
      <c r="J70" s="7">
        <v>0.15</v>
      </c>
      <c r="K70" s="6">
        <f t="shared" si="10"/>
        <v>124.5</v>
      </c>
      <c r="L70" s="6">
        <f>IF(G70="","",G70-K70)</f>
        <v>705.5</v>
      </c>
      <c r="M70" s="4"/>
      <c r="N70" s="4" t="s">
        <v>110</v>
      </c>
      <c r="O70" s="4"/>
      <c r="P70" s="4" t="s">
        <v>133</v>
      </c>
    </row>
    <row r="71" spans="1:16" ht="32" customHeight="1" x14ac:dyDescent="0.2">
      <c r="A71" s="3">
        <v>45975</v>
      </c>
      <c r="B71" s="4" t="s">
        <v>83</v>
      </c>
      <c r="C71" s="4" t="s">
        <v>131</v>
      </c>
      <c r="D71" s="4" t="s">
        <v>64</v>
      </c>
      <c r="E71" s="4" t="s">
        <v>63</v>
      </c>
      <c r="F71" s="4" t="s">
        <v>46</v>
      </c>
      <c r="G71" s="6">
        <v>1200</v>
      </c>
      <c r="H71" s="4" t="s">
        <v>63</v>
      </c>
      <c r="I71" s="4" t="s">
        <v>109</v>
      </c>
      <c r="J71" s="7"/>
      <c r="K71" s="6">
        <f t="shared" si="10"/>
        <v>0</v>
      </c>
      <c r="L71" s="6">
        <f t="shared" si="11"/>
        <v>1200</v>
      </c>
      <c r="M71" s="4"/>
      <c r="N71" s="4" t="s">
        <v>110</v>
      </c>
      <c r="O71" s="4"/>
      <c r="P71" s="4" t="s">
        <v>133</v>
      </c>
    </row>
    <row r="72" spans="1:16" ht="32" customHeight="1" x14ac:dyDescent="0.2">
      <c r="A72" s="3">
        <v>45977</v>
      </c>
      <c r="B72" s="4" t="s">
        <v>83</v>
      </c>
      <c r="C72" s="4" t="s">
        <v>131</v>
      </c>
      <c r="D72" s="4" t="s">
        <v>64</v>
      </c>
      <c r="E72" s="4" t="s">
        <v>63</v>
      </c>
      <c r="F72" s="4" t="s">
        <v>46</v>
      </c>
      <c r="G72" s="6">
        <v>1200</v>
      </c>
      <c r="H72" s="4" t="s">
        <v>63</v>
      </c>
      <c r="I72" s="4" t="s">
        <v>109</v>
      </c>
      <c r="J72" s="7"/>
      <c r="K72" s="6">
        <f t="shared" si="10"/>
        <v>0</v>
      </c>
      <c r="L72" s="6">
        <f t="shared" si="11"/>
        <v>1200</v>
      </c>
      <c r="M72" s="4"/>
      <c r="N72" s="4" t="s">
        <v>110</v>
      </c>
      <c r="O72" s="4"/>
      <c r="P72" s="4" t="s">
        <v>133</v>
      </c>
    </row>
    <row r="73" spans="1:16" ht="32" customHeight="1" x14ac:dyDescent="0.2">
      <c r="A73" s="3">
        <v>45978</v>
      </c>
      <c r="B73" s="4" t="s">
        <v>83</v>
      </c>
      <c r="C73" s="4" t="s">
        <v>131</v>
      </c>
      <c r="D73" s="4" t="s">
        <v>64</v>
      </c>
      <c r="E73" s="4" t="s">
        <v>63</v>
      </c>
      <c r="F73" s="4" t="s">
        <v>46</v>
      </c>
      <c r="G73" s="6">
        <v>1200</v>
      </c>
      <c r="H73" s="4" t="s">
        <v>63</v>
      </c>
      <c r="I73" s="4" t="s">
        <v>109</v>
      </c>
      <c r="J73" s="7"/>
      <c r="K73" s="6">
        <f t="shared" si="10"/>
        <v>0</v>
      </c>
      <c r="L73" s="6">
        <f t="shared" si="11"/>
        <v>1200</v>
      </c>
      <c r="M73" s="4"/>
      <c r="N73" s="4" t="s">
        <v>110</v>
      </c>
      <c r="O73" s="4"/>
      <c r="P73" s="4" t="s">
        <v>133</v>
      </c>
    </row>
    <row r="74" spans="1:16" ht="32" customHeight="1" x14ac:dyDescent="0.2">
      <c r="A74" s="3">
        <v>45979</v>
      </c>
      <c r="B74" s="4" t="s">
        <v>83</v>
      </c>
      <c r="C74" s="4" t="s">
        <v>131</v>
      </c>
      <c r="D74" s="4" t="s">
        <v>64</v>
      </c>
      <c r="E74" s="4" t="s">
        <v>63</v>
      </c>
      <c r="F74" s="4" t="s">
        <v>46</v>
      </c>
      <c r="G74" s="6">
        <v>1000</v>
      </c>
      <c r="H74" s="4" t="s">
        <v>63</v>
      </c>
      <c r="I74" s="4" t="s">
        <v>109</v>
      </c>
      <c r="J74" s="7"/>
      <c r="K74" s="6">
        <f t="shared" si="10"/>
        <v>0</v>
      </c>
      <c r="L74" s="6">
        <f t="shared" si="11"/>
        <v>1000</v>
      </c>
      <c r="M74" s="4"/>
      <c r="N74" s="4" t="s">
        <v>110</v>
      </c>
      <c r="O74" s="4"/>
      <c r="P74" s="4" t="s">
        <v>133</v>
      </c>
    </row>
    <row r="75" spans="1:16" ht="32" customHeight="1" x14ac:dyDescent="0.2">
      <c r="A75" s="3">
        <v>45979</v>
      </c>
      <c r="B75" s="4" t="s">
        <v>83</v>
      </c>
      <c r="C75" s="4" t="s">
        <v>62</v>
      </c>
      <c r="D75" s="4" t="s">
        <v>62</v>
      </c>
      <c r="E75" s="4" t="s">
        <v>63</v>
      </c>
      <c r="F75" s="4" t="s">
        <v>46</v>
      </c>
      <c r="G75" s="6">
        <v>2500</v>
      </c>
      <c r="H75" s="4" t="s">
        <v>63</v>
      </c>
      <c r="I75" s="4" t="s">
        <v>172</v>
      </c>
      <c r="J75" s="7">
        <v>0.15</v>
      </c>
      <c r="K75" s="6">
        <f t="shared" si="10"/>
        <v>375</v>
      </c>
      <c r="L75" s="6">
        <f>IF(G75="","",G75-K75)</f>
        <v>2125</v>
      </c>
      <c r="M75" s="4"/>
      <c r="N75" s="4" t="s">
        <v>110</v>
      </c>
      <c r="O75" s="4"/>
      <c r="P75" s="4" t="s">
        <v>133</v>
      </c>
    </row>
    <row r="76" spans="1:16" ht="32" customHeight="1" x14ac:dyDescent="0.2">
      <c r="A76" s="3">
        <v>45979</v>
      </c>
      <c r="B76" s="4" t="s">
        <v>83</v>
      </c>
      <c r="C76" s="4" t="s">
        <v>113</v>
      </c>
      <c r="D76" s="4" t="s">
        <v>59</v>
      </c>
      <c r="E76" s="4" t="s">
        <v>63</v>
      </c>
      <c r="F76" s="4" t="s">
        <v>46</v>
      </c>
      <c r="G76" s="6">
        <v>400</v>
      </c>
      <c r="H76" s="4" t="s">
        <v>63</v>
      </c>
      <c r="I76" s="4" t="s">
        <v>109</v>
      </c>
      <c r="J76" s="7"/>
      <c r="K76" s="6">
        <f t="shared" si="10"/>
        <v>0</v>
      </c>
      <c r="L76" s="6">
        <f t="shared" si="11"/>
        <v>400</v>
      </c>
      <c r="M76" s="4"/>
      <c r="N76" s="4" t="s">
        <v>110</v>
      </c>
      <c r="O76" s="4"/>
      <c r="P76" s="4" t="s">
        <v>133</v>
      </c>
    </row>
    <row r="77" spans="1:16" ht="32" customHeight="1" x14ac:dyDescent="0.2">
      <c r="A77" s="3">
        <v>45980</v>
      </c>
      <c r="B77" s="4" t="s">
        <v>83</v>
      </c>
      <c r="C77" s="4" t="s">
        <v>131</v>
      </c>
      <c r="D77" s="4" t="s">
        <v>64</v>
      </c>
      <c r="E77" s="4" t="s">
        <v>63</v>
      </c>
      <c r="F77" s="4" t="s">
        <v>46</v>
      </c>
      <c r="G77" s="6">
        <v>1200</v>
      </c>
      <c r="H77" s="4" t="s">
        <v>63</v>
      </c>
      <c r="I77" s="4" t="s">
        <v>109</v>
      </c>
      <c r="J77" s="7"/>
      <c r="K77" s="6">
        <f t="shared" si="10"/>
        <v>0</v>
      </c>
      <c r="L77" s="6">
        <f t="shared" si="11"/>
        <v>1200</v>
      </c>
      <c r="M77" s="4"/>
      <c r="N77" s="4" t="s">
        <v>110</v>
      </c>
      <c r="O77" s="4"/>
      <c r="P77" s="4" t="s">
        <v>133</v>
      </c>
    </row>
    <row r="78" spans="1:16" ht="32" customHeight="1" x14ac:dyDescent="0.2">
      <c r="A78" s="3">
        <v>45982</v>
      </c>
      <c r="B78" s="4" t="s">
        <v>83</v>
      </c>
      <c r="C78" s="4" t="s">
        <v>131</v>
      </c>
      <c r="D78" s="4" t="s">
        <v>64</v>
      </c>
      <c r="E78" s="4" t="s">
        <v>63</v>
      </c>
      <c r="F78" s="4" t="s">
        <v>46</v>
      </c>
      <c r="G78" s="6">
        <v>1200</v>
      </c>
      <c r="H78" s="4" t="s">
        <v>63</v>
      </c>
      <c r="I78" s="4" t="s">
        <v>109</v>
      </c>
      <c r="J78" s="7"/>
      <c r="K78" s="6">
        <f t="shared" si="10"/>
        <v>0</v>
      </c>
      <c r="L78" s="6">
        <f t="shared" si="11"/>
        <v>1200</v>
      </c>
      <c r="M78" s="4"/>
      <c r="N78" s="4" t="s">
        <v>110</v>
      </c>
      <c r="O78" s="4"/>
      <c r="P78" s="4" t="s">
        <v>133</v>
      </c>
    </row>
    <row r="79" spans="1:16" ht="32" customHeight="1" x14ac:dyDescent="0.2">
      <c r="A79" s="3">
        <v>45983</v>
      </c>
      <c r="B79" s="4" t="s">
        <v>83</v>
      </c>
      <c r="C79" s="4" t="s">
        <v>131</v>
      </c>
      <c r="D79" s="4" t="s">
        <v>64</v>
      </c>
      <c r="E79" s="4" t="s">
        <v>63</v>
      </c>
      <c r="F79" s="4" t="s">
        <v>46</v>
      </c>
      <c r="G79" s="6">
        <v>1200</v>
      </c>
      <c r="H79" s="4" t="s">
        <v>63</v>
      </c>
      <c r="I79" s="4" t="s">
        <v>109</v>
      </c>
      <c r="J79" s="7"/>
      <c r="K79" s="6">
        <f t="shared" si="10"/>
        <v>0</v>
      </c>
      <c r="L79" s="6">
        <f t="shared" si="11"/>
        <v>1200</v>
      </c>
      <c r="M79" s="4"/>
      <c r="N79" s="4" t="s">
        <v>110</v>
      </c>
      <c r="O79" s="4"/>
      <c r="P79" s="4" t="s">
        <v>133</v>
      </c>
    </row>
    <row r="80" spans="1:16" ht="32" customHeight="1" x14ac:dyDescent="0.2">
      <c r="A80" s="3">
        <v>45984</v>
      </c>
      <c r="B80" s="4" t="s">
        <v>83</v>
      </c>
      <c r="C80" s="4" t="s">
        <v>131</v>
      </c>
      <c r="D80" s="4" t="s">
        <v>64</v>
      </c>
      <c r="E80" s="4" t="s">
        <v>63</v>
      </c>
      <c r="F80" s="4" t="s">
        <v>46</v>
      </c>
      <c r="G80" s="6">
        <v>1200</v>
      </c>
      <c r="H80" s="4" t="s">
        <v>63</v>
      </c>
      <c r="I80" s="4" t="s">
        <v>109</v>
      </c>
      <c r="J80" s="7"/>
      <c r="K80" s="6">
        <f t="shared" si="10"/>
        <v>0</v>
      </c>
      <c r="L80" s="6">
        <f t="shared" si="11"/>
        <v>1200</v>
      </c>
      <c r="M80" s="4"/>
      <c r="N80" s="4" t="s">
        <v>110</v>
      </c>
      <c r="O80" s="4"/>
      <c r="P80" s="4" t="s">
        <v>133</v>
      </c>
    </row>
    <row r="81" spans="1:16" ht="32" customHeight="1" x14ac:dyDescent="0.2">
      <c r="A81" s="3">
        <v>45984</v>
      </c>
      <c r="B81" s="4" t="s">
        <v>83</v>
      </c>
      <c r="C81" s="4" t="s">
        <v>113</v>
      </c>
      <c r="D81" s="4" t="s">
        <v>59</v>
      </c>
      <c r="E81" s="4" t="s">
        <v>63</v>
      </c>
      <c r="F81" s="4" t="s">
        <v>46</v>
      </c>
      <c r="G81" s="6">
        <v>440</v>
      </c>
      <c r="H81" s="4" t="s">
        <v>63</v>
      </c>
      <c r="I81" s="4" t="s">
        <v>109</v>
      </c>
      <c r="J81" s="7"/>
      <c r="K81" s="6">
        <f t="shared" si="10"/>
        <v>0</v>
      </c>
      <c r="L81" s="6">
        <f t="shared" si="11"/>
        <v>440</v>
      </c>
      <c r="M81" s="4"/>
      <c r="N81" s="4" t="s">
        <v>110</v>
      </c>
      <c r="O81" s="4"/>
      <c r="P81" s="4" t="s">
        <v>133</v>
      </c>
    </row>
    <row r="82" spans="1:16" ht="32" customHeight="1" x14ac:dyDescent="0.2">
      <c r="A82" s="3">
        <v>45984</v>
      </c>
      <c r="B82" s="4" t="s">
        <v>83</v>
      </c>
      <c r="C82" s="4" t="s">
        <v>134</v>
      </c>
      <c r="D82" s="4" t="s">
        <v>59</v>
      </c>
      <c r="E82" s="4" t="s">
        <v>63</v>
      </c>
      <c r="F82" s="4" t="s">
        <v>46</v>
      </c>
      <c r="G82" s="6">
        <v>510</v>
      </c>
      <c r="H82" s="4" t="s">
        <v>63</v>
      </c>
      <c r="I82" s="4" t="s">
        <v>109</v>
      </c>
      <c r="J82" s="7"/>
      <c r="K82" s="6">
        <f t="shared" si="10"/>
        <v>0</v>
      </c>
      <c r="L82" s="6">
        <f t="shared" si="11"/>
        <v>510</v>
      </c>
      <c r="M82" s="4"/>
      <c r="N82" s="4" t="s">
        <v>110</v>
      </c>
      <c r="O82" s="4"/>
      <c r="P82" s="4" t="s">
        <v>133</v>
      </c>
    </row>
    <row r="83" spans="1:16" ht="32" customHeight="1" x14ac:dyDescent="0.2">
      <c r="A83" s="3">
        <v>45984</v>
      </c>
      <c r="B83" s="4" t="s">
        <v>83</v>
      </c>
      <c r="C83" s="4" t="s">
        <v>135</v>
      </c>
      <c r="D83" s="4" t="s">
        <v>62</v>
      </c>
      <c r="E83" s="4" t="s">
        <v>63</v>
      </c>
      <c r="F83" s="4" t="s">
        <v>46</v>
      </c>
      <c r="G83" s="6">
        <v>350</v>
      </c>
      <c r="H83" s="4" t="s">
        <v>63</v>
      </c>
      <c r="I83" s="4" t="s">
        <v>172</v>
      </c>
      <c r="J83" s="7">
        <v>0.15</v>
      </c>
      <c r="K83" s="6">
        <f t="shared" si="10"/>
        <v>52.5</v>
      </c>
      <c r="L83" s="6">
        <f>IF(G83="","",G83-K83)</f>
        <v>297.5</v>
      </c>
      <c r="M83" s="4"/>
      <c r="N83" s="4" t="s">
        <v>110</v>
      </c>
      <c r="O83" s="4"/>
      <c r="P83" s="4" t="s">
        <v>133</v>
      </c>
    </row>
    <row r="84" spans="1:16" ht="32" customHeight="1" x14ac:dyDescent="0.2">
      <c r="A84" s="3">
        <v>45985</v>
      </c>
      <c r="B84" s="4" t="s">
        <v>83</v>
      </c>
      <c r="C84" s="4" t="s">
        <v>113</v>
      </c>
      <c r="D84" s="4" t="s">
        <v>59</v>
      </c>
      <c r="E84" s="4" t="s">
        <v>63</v>
      </c>
      <c r="F84" s="4" t="s">
        <v>46</v>
      </c>
      <c r="G84" s="6">
        <v>3500</v>
      </c>
      <c r="H84" s="4" t="s">
        <v>63</v>
      </c>
      <c r="I84" s="4" t="s">
        <v>109</v>
      </c>
      <c r="J84" s="7"/>
      <c r="K84" s="6">
        <f t="shared" si="10"/>
        <v>0</v>
      </c>
      <c r="L84" s="6">
        <f t="shared" si="11"/>
        <v>3500</v>
      </c>
      <c r="M84" s="4"/>
      <c r="N84" s="4" t="s">
        <v>110</v>
      </c>
      <c r="O84" s="4"/>
      <c r="P84" s="4" t="s">
        <v>133</v>
      </c>
    </row>
    <row r="85" spans="1:16" ht="32" customHeight="1" x14ac:dyDescent="0.2">
      <c r="A85" s="3">
        <v>45985</v>
      </c>
      <c r="B85" s="4" t="s">
        <v>83</v>
      </c>
      <c r="C85" s="4" t="s">
        <v>122</v>
      </c>
      <c r="D85" s="4" t="s">
        <v>59</v>
      </c>
      <c r="E85" s="4" t="s">
        <v>63</v>
      </c>
      <c r="F85" s="4" t="s">
        <v>46</v>
      </c>
      <c r="G85" s="6">
        <v>500</v>
      </c>
      <c r="H85" s="4" t="s">
        <v>63</v>
      </c>
      <c r="I85" s="4" t="s">
        <v>109</v>
      </c>
      <c r="J85" s="7"/>
      <c r="K85" s="6">
        <f t="shared" si="10"/>
        <v>0</v>
      </c>
      <c r="L85" s="6">
        <f t="shared" si="11"/>
        <v>500</v>
      </c>
      <c r="M85" s="4"/>
      <c r="N85" s="4" t="s">
        <v>110</v>
      </c>
      <c r="O85" s="4"/>
      <c r="P85" s="4" t="s">
        <v>133</v>
      </c>
    </row>
    <row r="86" spans="1:16" ht="32" customHeight="1" x14ac:dyDescent="0.2">
      <c r="A86" s="3">
        <v>45985</v>
      </c>
      <c r="B86" s="4" t="s">
        <v>83</v>
      </c>
      <c r="C86" s="4" t="s">
        <v>131</v>
      </c>
      <c r="D86" s="4" t="s">
        <v>64</v>
      </c>
      <c r="E86" s="4" t="s">
        <v>63</v>
      </c>
      <c r="F86" s="4" t="s">
        <v>46</v>
      </c>
      <c r="G86" s="6">
        <v>1200</v>
      </c>
      <c r="H86" s="4" t="s">
        <v>63</v>
      </c>
      <c r="I86" s="4" t="s">
        <v>109</v>
      </c>
      <c r="J86" s="7"/>
      <c r="K86" s="6">
        <f t="shared" si="10"/>
        <v>0</v>
      </c>
      <c r="L86" s="6">
        <f t="shared" si="11"/>
        <v>1200</v>
      </c>
      <c r="M86" s="4"/>
      <c r="N86" s="4" t="s">
        <v>110</v>
      </c>
      <c r="O86" s="4"/>
      <c r="P86" s="4" t="s">
        <v>133</v>
      </c>
    </row>
    <row r="87" spans="1:16" ht="32" customHeight="1" x14ac:dyDescent="0.2">
      <c r="A87" s="3">
        <v>45985</v>
      </c>
      <c r="B87" s="4" t="s">
        <v>83</v>
      </c>
      <c r="C87" s="4" t="s">
        <v>113</v>
      </c>
      <c r="D87" s="4" t="s">
        <v>59</v>
      </c>
      <c r="E87" s="4" t="s">
        <v>63</v>
      </c>
      <c r="F87" s="4" t="s">
        <v>46</v>
      </c>
      <c r="G87" s="6">
        <v>440</v>
      </c>
      <c r="H87" s="4" t="s">
        <v>63</v>
      </c>
      <c r="I87" s="4" t="s">
        <v>109</v>
      </c>
      <c r="J87" s="7"/>
      <c r="K87" s="6">
        <f t="shared" si="10"/>
        <v>0</v>
      </c>
      <c r="L87" s="6">
        <f t="shared" si="11"/>
        <v>440</v>
      </c>
      <c r="M87" s="4"/>
      <c r="N87" s="4" t="s">
        <v>110</v>
      </c>
      <c r="O87" s="4"/>
      <c r="P87" s="4" t="s">
        <v>133</v>
      </c>
    </row>
    <row r="88" spans="1:16" ht="32" customHeight="1" x14ac:dyDescent="0.2">
      <c r="A88" s="3">
        <v>45985</v>
      </c>
      <c r="B88" s="4" t="s">
        <v>83</v>
      </c>
      <c r="C88" s="4" t="s">
        <v>124</v>
      </c>
      <c r="D88" s="4" t="s">
        <v>62</v>
      </c>
      <c r="E88" s="4" t="s">
        <v>63</v>
      </c>
      <c r="F88" s="4" t="s">
        <v>46</v>
      </c>
      <c r="G88" s="6">
        <v>4793</v>
      </c>
      <c r="H88" s="4" t="s">
        <v>63</v>
      </c>
      <c r="I88" s="4" t="s">
        <v>172</v>
      </c>
      <c r="J88" s="7">
        <v>0.15</v>
      </c>
      <c r="K88" s="6">
        <f t="shared" si="10"/>
        <v>718.94999999999993</v>
      </c>
      <c r="L88" s="6">
        <f>IF(G88="","",G88-K88)</f>
        <v>4074.05</v>
      </c>
      <c r="M88" s="4"/>
      <c r="N88" s="4" t="s">
        <v>110</v>
      </c>
      <c r="O88" s="4"/>
      <c r="P88" s="4" t="s">
        <v>133</v>
      </c>
    </row>
    <row r="89" spans="1:16" ht="32" customHeight="1" x14ac:dyDescent="0.2">
      <c r="A89" s="3">
        <v>45986</v>
      </c>
      <c r="B89" s="4" t="s">
        <v>83</v>
      </c>
      <c r="C89" s="4" t="s">
        <v>131</v>
      </c>
      <c r="D89" s="4" t="s">
        <v>64</v>
      </c>
      <c r="E89" s="4" t="s">
        <v>63</v>
      </c>
      <c r="F89" s="4" t="s">
        <v>46</v>
      </c>
      <c r="G89" s="6">
        <v>1200</v>
      </c>
      <c r="H89" s="4" t="s">
        <v>63</v>
      </c>
      <c r="I89" s="4" t="s">
        <v>109</v>
      </c>
      <c r="J89" s="7"/>
      <c r="K89" s="6">
        <f t="shared" si="10"/>
        <v>0</v>
      </c>
      <c r="L89" s="6">
        <f t="shared" si="11"/>
        <v>1200</v>
      </c>
      <c r="M89" s="4"/>
      <c r="N89" s="4" t="s">
        <v>110</v>
      </c>
      <c r="O89" s="4"/>
      <c r="P89" s="4" t="s">
        <v>133</v>
      </c>
    </row>
    <row r="90" spans="1:16" ht="32" customHeight="1" x14ac:dyDescent="0.2">
      <c r="A90" s="3">
        <v>45986</v>
      </c>
      <c r="B90" s="4" t="s">
        <v>83</v>
      </c>
      <c r="C90" s="4" t="s">
        <v>113</v>
      </c>
      <c r="D90" s="4" t="s">
        <v>59</v>
      </c>
      <c r="E90" s="4" t="s">
        <v>63</v>
      </c>
      <c r="F90" s="4" t="s">
        <v>46</v>
      </c>
      <c r="G90" s="6">
        <v>220</v>
      </c>
      <c r="H90" s="4" t="s">
        <v>63</v>
      </c>
      <c r="I90" s="4" t="s">
        <v>109</v>
      </c>
      <c r="J90" s="7"/>
      <c r="K90" s="6">
        <f t="shared" si="10"/>
        <v>0</v>
      </c>
      <c r="L90" s="6">
        <f t="shared" si="11"/>
        <v>220</v>
      </c>
      <c r="M90" s="4"/>
      <c r="N90" s="4" t="s">
        <v>110</v>
      </c>
      <c r="O90" s="4"/>
      <c r="P90" s="4" t="s">
        <v>133</v>
      </c>
    </row>
    <row r="91" spans="1:16" ht="32" customHeight="1" x14ac:dyDescent="0.2">
      <c r="A91" s="3">
        <v>45987</v>
      </c>
      <c r="B91" s="4" t="s">
        <v>83</v>
      </c>
      <c r="C91" s="4" t="s">
        <v>131</v>
      </c>
      <c r="D91" s="4" t="s">
        <v>64</v>
      </c>
      <c r="E91" s="4" t="s">
        <v>63</v>
      </c>
      <c r="F91" s="4" t="s">
        <v>46</v>
      </c>
      <c r="G91" s="6">
        <v>1200</v>
      </c>
      <c r="H91" s="4" t="s">
        <v>63</v>
      </c>
      <c r="I91" s="4" t="s">
        <v>109</v>
      </c>
      <c r="J91" s="7"/>
      <c r="K91" s="6">
        <f t="shared" si="10"/>
        <v>0</v>
      </c>
      <c r="L91" s="6">
        <f t="shared" si="11"/>
        <v>1200</v>
      </c>
      <c r="M91" s="4"/>
      <c r="N91" s="4" t="s">
        <v>110</v>
      </c>
      <c r="O91" s="4"/>
      <c r="P91" s="4" t="s">
        <v>133</v>
      </c>
    </row>
    <row r="92" spans="1:16" ht="32" customHeight="1" x14ac:dyDescent="0.2">
      <c r="A92" s="3">
        <v>45988</v>
      </c>
      <c r="B92" s="4" t="s">
        <v>83</v>
      </c>
      <c r="C92" s="4" t="s">
        <v>131</v>
      </c>
      <c r="D92" s="4" t="s">
        <v>64</v>
      </c>
      <c r="E92" s="4" t="s">
        <v>63</v>
      </c>
      <c r="F92" s="4" t="s">
        <v>46</v>
      </c>
      <c r="G92" s="6">
        <v>1000</v>
      </c>
      <c r="H92" s="4" t="s">
        <v>63</v>
      </c>
      <c r="I92" s="4" t="s">
        <v>109</v>
      </c>
      <c r="J92" s="7"/>
      <c r="K92" s="6">
        <f t="shared" si="10"/>
        <v>0</v>
      </c>
      <c r="L92" s="6">
        <f t="shared" si="11"/>
        <v>1000</v>
      </c>
      <c r="M92" s="4"/>
      <c r="N92" s="4" t="s">
        <v>110</v>
      </c>
      <c r="O92" s="4"/>
      <c r="P92" s="4" t="s">
        <v>133</v>
      </c>
    </row>
    <row r="93" spans="1:16" ht="32" customHeight="1" x14ac:dyDescent="0.2">
      <c r="A93" s="3">
        <v>45989</v>
      </c>
      <c r="B93" s="4" t="s">
        <v>83</v>
      </c>
      <c r="C93" s="4" t="s">
        <v>131</v>
      </c>
      <c r="D93" s="4" t="s">
        <v>64</v>
      </c>
      <c r="E93" s="4" t="s">
        <v>63</v>
      </c>
      <c r="F93" s="4" t="s">
        <v>46</v>
      </c>
      <c r="G93" s="6">
        <v>600</v>
      </c>
      <c r="H93" s="4" t="s">
        <v>63</v>
      </c>
      <c r="I93" s="4" t="s">
        <v>109</v>
      </c>
      <c r="J93" s="7"/>
      <c r="K93" s="6">
        <f t="shared" si="10"/>
        <v>0</v>
      </c>
      <c r="L93" s="6">
        <f t="shared" si="11"/>
        <v>600</v>
      </c>
      <c r="M93" s="4"/>
      <c r="N93" s="4" t="s">
        <v>110</v>
      </c>
      <c r="O93" s="4"/>
      <c r="P93" s="4" t="s">
        <v>133</v>
      </c>
    </row>
    <row r="94" spans="1:16" ht="32" customHeight="1" x14ac:dyDescent="0.2">
      <c r="A94" s="3">
        <v>45990</v>
      </c>
      <c r="B94" s="4" t="s">
        <v>83</v>
      </c>
      <c r="C94" s="4" t="s">
        <v>131</v>
      </c>
      <c r="D94" s="4" t="s">
        <v>64</v>
      </c>
      <c r="E94" s="4" t="s">
        <v>63</v>
      </c>
      <c r="F94" s="4" t="s">
        <v>46</v>
      </c>
      <c r="G94" s="6">
        <v>600</v>
      </c>
      <c r="H94" s="4" t="s">
        <v>63</v>
      </c>
      <c r="I94" s="4" t="s">
        <v>109</v>
      </c>
      <c r="J94" s="7"/>
      <c r="K94" s="6">
        <f t="shared" si="10"/>
        <v>0</v>
      </c>
      <c r="L94" s="6">
        <f t="shared" si="11"/>
        <v>600</v>
      </c>
      <c r="M94" s="4"/>
      <c r="N94" s="4" t="s">
        <v>110</v>
      </c>
      <c r="O94" s="4"/>
      <c r="P94" s="4" t="s">
        <v>133</v>
      </c>
    </row>
    <row r="95" spans="1:16" ht="32" customHeight="1" x14ac:dyDescent="0.2">
      <c r="A95" s="3">
        <v>45991</v>
      </c>
      <c r="B95" s="4" t="s">
        <v>83</v>
      </c>
      <c r="C95" s="4" t="s">
        <v>131</v>
      </c>
      <c r="D95" s="4" t="s">
        <v>64</v>
      </c>
      <c r="E95" s="4" t="s">
        <v>63</v>
      </c>
      <c r="F95" s="4" t="s">
        <v>46</v>
      </c>
      <c r="G95" s="6">
        <v>600</v>
      </c>
      <c r="H95" s="4" t="s">
        <v>63</v>
      </c>
      <c r="I95" s="4" t="s">
        <v>109</v>
      </c>
      <c r="J95" s="7"/>
      <c r="K95" s="6">
        <f t="shared" si="10"/>
        <v>0</v>
      </c>
      <c r="L95" s="6">
        <f t="shared" si="11"/>
        <v>600</v>
      </c>
      <c r="M95" s="4"/>
      <c r="N95" s="4" t="s">
        <v>110</v>
      </c>
      <c r="O95" s="4"/>
      <c r="P95" s="4" t="s">
        <v>133</v>
      </c>
    </row>
    <row r="96" spans="1:16" ht="32" customHeight="1" x14ac:dyDescent="0.2">
      <c r="A96" s="3">
        <v>45991</v>
      </c>
      <c r="B96" s="4" t="s">
        <v>83</v>
      </c>
      <c r="C96" s="4" t="s">
        <v>124</v>
      </c>
      <c r="D96" s="4" t="s">
        <v>62</v>
      </c>
      <c r="E96" s="4" t="s">
        <v>63</v>
      </c>
      <c r="F96" s="4" t="s">
        <v>46</v>
      </c>
      <c r="G96" s="6">
        <v>2973</v>
      </c>
      <c r="H96" s="4" t="s">
        <v>63</v>
      </c>
      <c r="I96" s="4" t="s">
        <v>172</v>
      </c>
      <c r="J96" s="7">
        <v>0.15</v>
      </c>
      <c r="K96" s="6">
        <f t="shared" si="10"/>
        <v>445.95</v>
      </c>
      <c r="L96" s="6">
        <f>IF(G96="","",G96-K96)</f>
        <v>2527.0500000000002</v>
      </c>
      <c r="M96" s="4"/>
      <c r="N96" s="4" t="s">
        <v>110</v>
      </c>
      <c r="O96" s="4"/>
      <c r="P96" s="4" t="s">
        <v>133</v>
      </c>
    </row>
    <row r="97" spans="1:16" ht="32" customHeight="1" x14ac:dyDescent="0.2">
      <c r="A97" s="3">
        <v>45992</v>
      </c>
      <c r="B97" s="4" t="s">
        <v>83</v>
      </c>
      <c r="C97" s="4" t="s">
        <v>131</v>
      </c>
      <c r="D97" s="4" t="s">
        <v>64</v>
      </c>
      <c r="E97" s="4" t="s">
        <v>63</v>
      </c>
      <c r="F97" s="4" t="s">
        <v>46</v>
      </c>
      <c r="G97" s="6">
        <v>1200</v>
      </c>
      <c r="H97" s="4" t="s">
        <v>63</v>
      </c>
      <c r="I97" s="4" t="s">
        <v>109</v>
      </c>
      <c r="J97" s="7"/>
      <c r="K97" s="6">
        <f t="shared" si="10"/>
        <v>0</v>
      </c>
      <c r="L97" s="6">
        <f t="shared" si="11"/>
        <v>1200</v>
      </c>
      <c r="M97" s="4"/>
      <c r="N97" s="4" t="s">
        <v>110</v>
      </c>
      <c r="O97" s="4"/>
      <c r="P97" s="4" t="s">
        <v>133</v>
      </c>
    </row>
    <row r="98" spans="1:16" ht="32" customHeight="1" x14ac:dyDescent="0.2">
      <c r="A98" s="3">
        <v>45993</v>
      </c>
      <c r="B98" s="4" t="s">
        <v>83</v>
      </c>
      <c r="C98" s="4" t="s">
        <v>131</v>
      </c>
      <c r="D98" s="4" t="s">
        <v>64</v>
      </c>
      <c r="E98" s="4" t="s">
        <v>63</v>
      </c>
      <c r="F98" s="4" t="s">
        <v>46</v>
      </c>
      <c r="G98" s="6">
        <v>1200</v>
      </c>
      <c r="H98" s="4" t="s">
        <v>63</v>
      </c>
      <c r="I98" s="4" t="s">
        <v>109</v>
      </c>
      <c r="J98" s="7"/>
      <c r="K98" s="6">
        <f t="shared" ref="K98:K129" si="12">IF(OR(G98="",I98=""),"",IF(UPPER(I98)="YES",G98*J98,0))</f>
        <v>0</v>
      </c>
      <c r="L98" s="6">
        <f t="shared" ref="L98:L129" si="13">IF(G98="","",G98+K98)</f>
        <v>1200</v>
      </c>
      <c r="M98" s="4"/>
      <c r="N98" s="4" t="s">
        <v>110</v>
      </c>
      <c r="O98" s="4"/>
      <c r="P98" s="4" t="s">
        <v>133</v>
      </c>
    </row>
    <row r="99" spans="1:16" ht="32" customHeight="1" x14ac:dyDescent="0.2">
      <c r="A99" s="3">
        <v>45994</v>
      </c>
      <c r="B99" s="4" t="s">
        <v>83</v>
      </c>
      <c r="C99" s="4" t="s">
        <v>131</v>
      </c>
      <c r="D99" s="4" t="s">
        <v>64</v>
      </c>
      <c r="E99" s="4" t="s">
        <v>63</v>
      </c>
      <c r="F99" s="4" t="s">
        <v>46</v>
      </c>
      <c r="G99" s="6">
        <v>1200</v>
      </c>
      <c r="H99" s="4" t="s">
        <v>63</v>
      </c>
      <c r="I99" s="4" t="s">
        <v>109</v>
      </c>
      <c r="J99" s="7"/>
      <c r="K99" s="6">
        <f t="shared" si="12"/>
        <v>0</v>
      </c>
      <c r="L99" s="6">
        <f t="shared" si="13"/>
        <v>1200</v>
      </c>
      <c r="M99" s="4"/>
      <c r="N99" s="4" t="s">
        <v>110</v>
      </c>
      <c r="O99" s="4"/>
      <c r="P99" s="4" t="s">
        <v>133</v>
      </c>
    </row>
    <row r="100" spans="1:16" ht="32" customHeight="1" x14ac:dyDescent="0.2">
      <c r="A100" s="3">
        <v>45995</v>
      </c>
      <c r="B100" s="4" t="s">
        <v>83</v>
      </c>
      <c r="C100" s="4" t="s">
        <v>131</v>
      </c>
      <c r="D100" s="4" t="s">
        <v>64</v>
      </c>
      <c r="E100" s="4" t="s">
        <v>63</v>
      </c>
      <c r="F100" s="4" t="s">
        <v>46</v>
      </c>
      <c r="G100" s="6">
        <v>3000</v>
      </c>
      <c r="H100" s="4" t="s">
        <v>63</v>
      </c>
      <c r="I100" s="4" t="s">
        <v>109</v>
      </c>
      <c r="J100" s="7"/>
      <c r="K100" s="6">
        <f t="shared" si="12"/>
        <v>0</v>
      </c>
      <c r="L100" s="6">
        <f t="shared" si="13"/>
        <v>3000</v>
      </c>
      <c r="M100" s="4"/>
      <c r="N100" s="4" t="s">
        <v>110</v>
      </c>
      <c r="O100" s="4"/>
      <c r="P100" s="4" t="s">
        <v>133</v>
      </c>
    </row>
    <row r="101" spans="1:16" ht="32" customHeight="1" x14ac:dyDescent="0.2">
      <c r="A101" s="3">
        <v>45996</v>
      </c>
      <c r="B101" s="4" t="s">
        <v>83</v>
      </c>
      <c r="C101" s="4" t="s">
        <v>131</v>
      </c>
      <c r="D101" s="4" t="s">
        <v>64</v>
      </c>
      <c r="E101" s="4" t="s">
        <v>63</v>
      </c>
      <c r="F101" s="4" t="s">
        <v>46</v>
      </c>
      <c r="G101" s="6">
        <v>1200</v>
      </c>
      <c r="H101" s="4" t="s">
        <v>63</v>
      </c>
      <c r="I101" s="4" t="s">
        <v>109</v>
      </c>
      <c r="J101" s="7"/>
      <c r="K101" s="6">
        <f t="shared" si="12"/>
        <v>0</v>
      </c>
      <c r="L101" s="6">
        <f t="shared" si="13"/>
        <v>1200</v>
      </c>
      <c r="M101" s="4"/>
      <c r="N101" s="4" t="s">
        <v>110</v>
      </c>
      <c r="O101" s="4"/>
      <c r="P101" s="4" t="s">
        <v>133</v>
      </c>
    </row>
    <row r="102" spans="1:16" ht="32" customHeight="1" x14ac:dyDescent="0.2">
      <c r="A102" s="3">
        <v>45980</v>
      </c>
      <c r="B102" s="4" t="s">
        <v>83</v>
      </c>
      <c r="C102" s="4" t="s">
        <v>62</v>
      </c>
      <c r="D102" s="4" t="s">
        <v>62</v>
      </c>
      <c r="E102" s="4" t="s">
        <v>42</v>
      </c>
      <c r="F102" s="4" t="s">
        <v>46</v>
      </c>
      <c r="G102" s="6">
        <v>462.8</v>
      </c>
      <c r="H102" s="4" t="s">
        <v>42</v>
      </c>
      <c r="I102" s="4" t="s">
        <v>172</v>
      </c>
      <c r="J102" s="7">
        <v>0.15</v>
      </c>
      <c r="K102" s="6">
        <f t="shared" si="12"/>
        <v>69.42</v>
      </c>
      <c r="L102" s="6">
        <f t="shared" ref="L102:L111" si="14">IF(G102="","",G102-K102)</f>
        <v>393.38</v>
      </c>
      <c r="M102" s="4"/>
      <c r="N102" s="4" t="s">
        <v>110</v>
      </c>
      <c r="O102" s="4"/>
      <c r="P102" s="4" t="s">
        <v>136</v>
      </c>
    </row>
    <row r="103" spans="1:16" ht="32" customHeight="1" x14ac:dyDescent="0.2">
      <c r="A103" s="3">
        <v>45980</v>
      </c>
      <c r="B103" s="4" t="s">
        <v>83</v>
      </c>
      <c r="C103" s="4" t="s">
        <v>62</v>
      </c>
      <c r="D103" s="4" t="s">
        <v>62</v>
      </c>
      <c r="E103" s="4" t="s">
        <v>42</v>
      </c>
      <c r="F103" s="4" t="s">
        <v>46</v>
      </c>
      <c r="G103" s="6">
        <v>550</v>
      </c>
      <c r="H103" s="4" t="s">
        <v>42</v>
      </c>
      <c r="I103" s="4" t="s">
        <v>172</v>
      </c>
      <c r="J103" s="7">
        <v>0.15</v>
      </c>
      <c r="K103" s="6">
        <f t="shared" si="12"/>
        <v>82.5</v>
      </c>
      <c r="L103" s="6">
        <f t="shared" si="14"/>
        <v>467.5</v>
      </c>
      <c r="M103" s="4"/>
      <c r="N103" s="4" t="s">
        <v>110</v>
      </c>
      <c r="O103" s="4"/>
      <c r="P103" s="4" t="s">
        <v>136</v>
      </c>
    </row>
    <row r="104" spans="1:16" ht="32" customHeight="1" x14ac:dyDescent="0.2">
      <c r="A104" s="3">
        <v>45980</v>
      </c>
      <c r="B104" s="4" t="s">
        <v>83</v>
      </c>
      <c r="C104" s="4" t="s">
        <v>62</v>
      </c>
      <c r="D104" s="4" t="s">
        <v>62</v>
      </c>
      <c r="E104" s="4" t="s">
        <v>42</v>
      </c>
      <c r="F104" s="4" t="s">
        <v>46</v>
      </c>
      <c r="G104" s="6">
        <v>487</v>
      </c>
      <c r="H104" s="4" t="s">
        <v>42</v>
      </c>
      <c r="I104" s="4" t="s">
        <v>172</v>
      </c>
      <c r="J104" s="7">
        <v>0.15</v>
      </c>
      <c r="K104" s="6">
        <f t="shared" si="12"/>
        <v>73.05</v>
      </c>
      <c r="L104" s="6">
        <f t="shared" si="14"/>
        <v>413.95</v>
      </c>
      <c r="M104" s="4"/>
      <c r="N104" s="4" t="s">
        <v>110</v>
      </c>
      <c r="O104" s="4"/>
      <c r="P104" s="4" t="s">
        <v>136</v>
      </c>
    </row>
    <row r="105" spans="1:16" ht="32" customHeight="1" x14ac:dyDescent="0.2">
      <c r="A105" s="3">
        <v>45980</v>
      </c>
      <c r="B105" s="4" t="s">
        <v>83</v>
      </c>
      <c r="C105" s="4" t="s">
        <v>62</v>
      </c>
      <c r="D105" s="4" t="s">
        <v>62</v>
      </c>
      <c r="E105" s="4" t="s">
        <v>42</v>
      </c>
      <c r="F105" s="4" t="s">
        <v>46</v>
      </c>
      <c r="G105" s="6">
        <v>680</v>
      </c>
      <c r="H105" s="4" t="s">
        <v>42</v>
      </c>
      <c r="I105" s="4" t="s">
        <v>172</v>
      </c>
      <c r="J105" s="7">
        <v>0.15</v>
      </c>
      <c r="K105" s="6">
        <f t="shared" si="12"/>
        <v>102</v>
      </c>
      <c r="L105" s="6">
        <f t="shared" si="14"/>
        <v>578</v>
      </c>
      <c r="M105" s="4"/>
      <c r="N105" s="4" t="s">
        <v>110</v>
      </c>
      <c r="O105" s="4"/>
      <c r="P105" s="4" t="s">
        <v>136</v>
      </c>
    </row>
    <row r="106" spans="1:16" ht="32" customHeight="1" x14ac:dyDescent="0.2">
      <c r="A106" s="3">
        <v>45980</v>
      </c>
      <c r="B106" s="4" t="s">
        <v>83</v>
      </c>
      <c r="C106" s="4" t="s">
        <v>62</v>
      </c>
      <c r="D106" s="4" t="s">
        <v>62</v>
      </c>
      <c r="E106" s="4" t="s">
        <v>42</v>
      </c>
      <c r="F106" s="4" t="s">
        <v>46</v>
      </c>
      <c r="G106" s="6">
        <v>90</v>
      </c>
      <c r="H106" s="4" t="s">
        <v>42</v>
      </c>
      <c r="I106" s="4" t="s">
        <v>172</v>
      </c>
      <c r="J106" s="7">
        <v>0.15</v>
      </c>
      <c r="K106" s="6">
        <f t="shared" si="12"/>
        <v>13.5</v>
      </c>
      <c r="L106" s="6">
        <f t="shared" si="14"/>
        <v>76.5</v>
      </c>
      <c r="M106" s="4"/>
      <c r="N106" s="4" t="s">
        <v>110</v>
      </c>
      <c r="O106" s="4"/>
      <c r="P106" s="4" t="s">
        <v>136</v>
      </c>
    </row>
    <row r="107" spans="1:16" ht="32" customHeight="1" x14ac:dyDescent="0.2">
      <c r="A107" s="3">
        <v>45980</v>
      </c>
      <c r="B107" s="4" t="s">
        <v>83</v>
      </c>
      <c r="C107" s="4" t="s">
        <v>62</v>
      </c>
      <c r="D107" s="4" t="s">
        <v>62</v>
      </c>
      <c r="E107" s="4" t="s">
        <v>42</v>
      </c>
      <c r="F107" s="4" t="s">
        <v>46</v>
      </c>
      <c r="G107" s="6">
        <v>265</v>
      </c>
      <c r="H107" s="4" t="s">
        <v>42</v>
      </c>
      <c r="I107" s="4" t="s">
        <v>172</v>
      </c>
      <c r="J107" s="7">
        <v>0.15</v>
      </c>
      <c r="K107" s="6">
        <f t="shared" si="12"/>
        <v>39.75</v>
      </c>
      <c r="L107" s="6">
        <f t="shared" si="14"/>
        <v>225.25</v>
      </c>
      <c r="M107" s="4"/>
      <c r="N107" s="4" t="s">
        <v>110</v>
      </c>
      <c r="O107" s="4"/>
      <c r="P107" s="4" t="s">
        <v>136</v>
      </c>
    </row>
    <row r="108" spans="1:16" ht="32" customHeight="1" x14ac:dyDescent="0.2">
      <c r="A108" s="3">
        <v>45980</v>
      </c>
      <c r="B108" s="4" t="s">
        <v>83</v>
      </c>
      <c r="C108" s="4" t="s">
        <v>62</v>
      </c>
      <c r="D108" s="4" t="s">
        <v>62</v>
      </c>
      <c r="E108" s="4" t="s">
        <v>42</v>
      </c>
      <c r="F108" s="4" t="s">
        <v>46</v>
      </c>
      <c r="G108" s="6">
        <v>975.75</v>
      </c>
      <c r="H108" s="4" t="s">
        <v>42</v>
      </c>
      <c r="I108" s="4" t="s">
        <v>172</v>
      </c>
      <c r="J108" s="7">
        <v>0.15</v>
      </c>
      <c r="K108" s="6">
        <f t="shared" si="12"/>
        <v>146.36249999999998</v>
      </c>
      <c r="L108" s="6">
        <f t="shared" si="14"/>
        <v>829.38750000000005</v>
      </c>
      <c r="M108" s="4"/>
      <c r="N108" s="4" t="s">
        <v>110</v>
      </c>
      <c r="O108" s="4"/>
      <c r="P108" s="4" t="s">
        <v>136</v>
      </c>
    </row>
    <row r="109" spans="1:16" ht="32" customHeight="1" x14ac:dyDescent="0.2">
      <c r="A109" s="3">
        <v>45980</v>
      </c>
      <c r="B109" s="4" t="s">
        <v>83</v>
      </c>
      <c r="C109" s="4" t="s">
        <v>62</v>
      </c>
      <c r="D109" s="4" t="s">
        <v>62</v>
      </c>
      <c r="E109" s="4" t="s">
        <v>42</v>
      </c>
      <c r="F109" s="4" t="s">
        <v>46</v>
      </c>
      <c r="G109" s="6">
        <v>2700</v>
      </c>
      <c r="H109" s="4" t="s">
        <v>42</v>
      </c>
      <c r="I109" s="4" t="s">
        <v>172</v>
      </c>
      <c r="J109" s="7">
        <v>0.15</v>
      </c>
      <c r="K109" s="6">
        <f t="shared" si="12"/>
        <v>405</v>
      </c>
      <c r="L109" s="6">
        <f t="shared" si="14"/>
        <v>2295</v>
      </c>
      <c r="M109" s="4"/>
      <c r="N109" s="4" t="s">
        <v>110</v>
      </c>
      <c r="O109" s="4"/>
      <c r="P109" s="4" t="s">
        <v>136</v>
      </c>
    </row>
    <row r="110" spans="1:16" ht="32" customHeight="1" x14ac:dyDescent="0.2">
      <c r="A110" s="3">
        <v>45983</v>
      </c>
      <c r="B110" s="4" t="s">
        <v>83</v>
      </c>
      <c r="C110" s="4" t="s">
        <v>62</v>
      </c>
      <c r="D110" s="4" t="s">
        <v>62</v>
      </c>
      <c r="E110" s="4" t="s">
        <v>42</v>
      </c>
      <c r="F110" s="4" t="s">
        <v>46</v>
      </c>
      <c r="G110" s="6">
        <v>1107</v>
      </c>
      <c r="H110" s="4" t="s">
        <v>42</v>
      </c>
      <c r="I110" s="4" t="s">
        <v>172</v>
      </c>
      <c r="J110" s="7">
        <v>0.15</v>
      </c>
      <c r="K110" s="6">
        <f t="shared" si="12"/>
        <v>166.04999999999998</v>
      </c>
      <c r="L110" s="6">
        <f t="shared" si="14"/>
        <v>940.95</v>
      </c>
      <c r="M110" s="4"/>
      <c r="N110" s="4" t="s">
        <v>110</v>
      </c>
      <c r="O110" s="4"/>
      <c r="P110" s="4" t="s">
        <v>136</v>
      </c>
    </row>
    <row r="111" spans="1:16" ht="32" customHeight="1" x14ac:dyDescent="0.2">
      <c r="A111" s="3">
        <v>45984</v>
      </c>
      <c r="B111" s="4" t="s">
        <v>83</v>
      </c>
      <c r="C111" s="4" t="s">
        <v>62</v>
      </c>
      <c r="D111" s="4" t="s">
        <v>62</v>
      </c>
      <c r="E111" s="4" t="s">
        <v>42</v>
      </c>
      <c r="F111" s="4" t="s">
        <v>46</v>
      </c>
      <c r="G111" s="6">
        <v>1500</v>
      </c>
      <c r="H111" s="4" t="s">
        <v>42</v>
      </c>
      <c r="I111" s="4" t="s">
        <v>172</v>
      </c>
      <c r="J111" s="7">
        <v>0.15</v>
      </c>
      <c r="K111" s="6">
        <f t="shared" si="12"/>
        <v>225</v>
      </c>
      <c r="L111" s="6">
        <f t="shared" si="14"/>
        <v>1275</v>
      </c>
      <c r="M111" s="4"/>
      <c r="N111" s="4" t="s">
        <v>110</v>
      </c>
      <c r="O111" s="4"/>
      <c r="P111" s="4" t="s">
        <v>136</v>
      </c>
    </row>
    <row r="112" spans="1:16" ht="16" customHeight="1" x14ac:dyDescent="0.2">
      <c r="A112" s="51"/>
      <c r="B112" s="52"/>
      <c r="C112" s="52"/>
      <c r="D112" s="52"/>
      <c r="E112" s="52"/>
      <c r="F112" s="52"/>
      <c r="G112" s="53"/>
      <c r="H112" s="52"/>
      <c r="I112" s="52"/>
      <c r="J112" s="59"/>
      <c r="K112" s="53" t="str">
        <f t="shared" si="12"/>
        <v/>
      </c>
      <c r="L112" s="53" t="str">
        <f t="shared" si="13"/>
        <v/>
      </c>
      <c r="M112" s="52"/>
      <c r="N112" s="52"/>
      <c r="O112" s="52"/>
      <c r="P112" s="52"/>
    </row>
    <row r="113" spans="1:16" s="64" customFormat="1" ht="16" customHeight="1" thickBot="1" x14ac:dyDescent="0.25">
      <c r="A113" s="57" t="s">
        <v>175</v>
      </c>
      <c r="B113" s="58"/>
      <c r="C113" s="57"/>
      <c r="D113" s="57"/>
      <c r="E113" s="57"/>
      <c r="F113" s="61"/>
      <c r="G113" s="62">
        <f>SUM(G2:G111)</f>
        <v>998350</v>
      </c>
      <c r="H113" s="57"/>
      <c r="I113" s="57"/>
      <c r="J113" s="63"/>
      <c r="K113" s="62">
        <f>SUM(K2:K111)</f>
        <v>9249.4934999999987</v>
      </c>
      <c r="L113" s="62">
        <f>SUM(L2:L111)</f>
        <v>989100.5064999999</v>
      </c>
      <c r="M113" s="57"/>
      <c r="N113" s="57"/>
      <c r="O113" s="57"/>
      <c r="P113" s="57"/>
    </row>
    <row r="114" spans="1:16" ht="16" customHeight="1" thickTop="1" x14ac:dyDescent="0.2">
      <c r="A114" s="54"/>
      <c r="B114" s="55"/>
      <c r="C114" s="55"/>
      <c r="D114" s="55"/>
      <c r="E114" s="55"/>
      <c r="F114" s="55"/>
      <c r="G114" s="56"/>
      <c r="H114" s="55"/>
      <c r="I114" s="55"/>
      <c r="J114" s="60"/>
      <c r="K114" s="56" t="str">
        <f t="shared" si="12"/>
        <v/>
      </c>
      <c r="L114" s="56" t="str">
        <f t="shared" si="13"/>
        <v/>
      </c>
      <c r="M114" s="55"/>
      <c r="N114" s="55"/>
      <c r="O114" s="55"/>
      <c r="P114" s="55"/>
    </row>
    <row r="115" spans="1:16" ht="16" customHeight="1" x14ac:dyDescent="0.2">
      <c r="A115" s="3"/>
      <c r="B115" s="4"/>
      <c r="C115" s="4"/>
      <c r="D115" s="4"/>
      <c r="E115" s="4"/>
      <c r="F115" s="4"/>
      <c r="G115" s="6"/>
      <c r="H115" s="4"/>
      <c r="I115" s="4"/>
      <c r="J115" s="7"/>
      <c r="K115" s="6" t="str">
        <f t="shared" si="12"/>
        <v/>
      </c>
      <c r="L115" s="6" t="str">
        <f t="shared" si="13"/>
        <v/>
      </c>
      <c r="M115" s="4"/>
      <c r="N115" s="4"/>
      <c r="O115" s="4"/>
      <c r="P115" s="4"/>
    </row>
    <row r="116" spans="1:16" ht="16" customHeight="1" x14ac:dyDescent="0.2">
      <c r="A116" s="3"/>
      <c r="B116" s="4"/>
      <c r="C116" s="4"/>
      <c r="D116" s="4"/>
      <c r="E116" s="4"/>
      <c r="F116" s="4"/>
      <c r="G116" s="6"/>
      <c r="H116" s="4"/>
      <c r="I116" s="4"/>
      <c r="J116" s="7"/>
      <c r="K116" s="6" t="str">
        <f t="shared" si="12"/>
        <v/>
      </c>
      <c r="L116" s="6" t="str">
        <f t="shared" si="13"/>
        <v/>
      </c>
      <c r="M116" s="4"/>
      <c r="N116" s="4"/>
      <c r="O116" s="4"/>
      <c r="P116" s="4"/>
    </row>
    <row r="117" spans="1:16" ht="16" customHeight="1" x14ac:dyDescent="0.2">
      <c r="A117" s="3"/>
      <c r="B117" s="4"/>
      <c r="C117" s="4"/>
      <c r="D117" s="4"/>
      <c r="E117" s="4"/>
      <c r="F117" s="4"/>
      <c r="G117" s="6"/>
      <c r="H117" s="4"/>
      <c r="I117" s="4"/>
      <c r="J117" s="7"/>
      <c r="K117" s="6" t="str">
        <f t="shared" si="12"/>
        <v/>
      </c>
      <c r="L117" s="6" t="str">
        <f t="shared" si="13"/>
        <v/>
      </c>
      <c r="M117" s="4"/>
      <c r="N117" s="4"/>
      <c r="O117" s="4"/>
      <c r="P117" s="4"/>
    </row>
    <row r="118" spans="1:16" ht="16" customHeight="1" x14ac:dyDescent="0.2">
      <c r="A118" s="3"/>
      <c r="B118" s="4"/>
      <c r="C118" s="4"/>
      <c r="D118" s="4"/>
      <c r="E118" s="4"/>
      <c r="F118" s="4"/>
      <c r="G118" s="6"/>
      <c r="H118" s="4"/>
      <c r="I118" s="4"/>
      <c r="J118" s="7"/>
      <c r="K118" s="6" t="str">
        <f t="shared" si="12"/>
        <v/>
      </c>
      <c r="L118" s="6" t="str">
        <f t="shared" si="13"/>
        <v/>
      </c>
      <c r="M118" s="4"/>
      <c r="N118" s="4"/>
      <c r="O118" s="4"/>
      <c r="P118" s="4"/>
    </row>
    <row r="119" spans="1:16" ht="16" customHeight="1" x14ac:dyDescent="0.2">
      <c r="A119" s="3"/>
      <c r="B119" s="4"/>
      <c r="C119" s="4"/>
      <c r="D119" s="4"/>
      <c r="E119" s="4"/>
      <c r="F119" s="4"/>
      <c r="G119" s="6"/>
      <c r="H119" s="4"/>
      <c r="I119" s="4"/>
      <c r="J119" s="7"/>
      <c r="K119" s="6" t="str">
        <f t="shared" si="12"/>
        <v/>
      </c>
      <c r="L119" s="6" t="str">
        <f t="shared" si="13"/>
        <v/>
      </c>
      <c r="M119" s="4"/>
      <c r="N119" s="4"/>
      <c r="O119" s="4"/>
      <c r="P119" s="4"/>
    </row>
    <row r="120" spans="1:16" ht="16" customHeight="1" x14ac:dyDescent="0.2">
      <c r="A120" s="3"/>
      <c r="B120" s="4"/>
      <c r="C120" s="4"/>
      <c r="D120" s="4"/>
      <c r="E120" s="4"/>
      <c r="F120" s="4"/>
      <c r="G120" s="6"/>
      <c r="H120" s="4"/>
      <c r="I120" s="4"/>
      <c r="J120" s="7"/>
      <c r="K120" s="6" t="str">
        <f t="shared" si="12"/>
        <v/>
      </c>
      <c r="L120" s="6" t="str">
        <f t="shared" si="13"/>
        <v/>
      </c>
      <c r="M120" s="4"/>
      <c r="N120" s="4"/>
      <c r="O120" s="4"/>
      <c r="P120" s="4"/>
    </row>
    <row r="121" spans="1:16" ht="16" customHeight="1" x14ac:dyDescent="0.2">
      <c r="A121" s="3"/>
      <c r="B121" s="4"/>
      <c r="C121" s="4"/>
      <c r="D121" s="4"/>
      <c r="E121" s="4"/>
      <c r="F121" s="4"/>
      <c r="G121" s="6"/>
      <c r="H121" s="4"/>
      <c r="I121" s="4"/>
      <c r="J121" s="7"/>
      <c r="K121" s="6" t="str">
        <f t="shared" si="12"/>
        <v/>
      </c>
      <c r="L121" s="6" t="str">
        <f t="shared" si="13"/>
        <v/>
      </c>
      <c r="M121" s="4"/>
      <c r="N121" s="4"/>
      <c r="O121" s="4"/>
      <c r="P121" s="4"/>
    </row>
    <row r="122" spans="1:16" ht="16" customHeight="1" x14ac:dyDescent="0.2">
      <c r="A122" s="3"/>
      <c r="B122" s="4"/>
      <c r="C122" s="4"/>
      <c r="D122" s="4"/>
      <c r="E122" s="4"/>
      <c r="F122" s="4"/>
      <c r="G122" s="6"/>
      <c r="H122" s="4"/>
      <c r="I122" s="4"/>
      <c r="J122" s="7"/>
      <c r="K122" s="6" t="str">
        <f t="shared" si="12"/>
        <v/>
      </c>
      <c r="L122" s="6" t="str">
        <f t="shared" si="13"/>
        <v/>
      </c>
      <c r="M122" s="4"/>
      <c r="N122" s="4"/>
      <c r="O122" s="4"/>
      <c r="P122" s="4"/>
    </row>
    <row r="123" spans="1:16" ht="16" customHeight="1" x14ac:dyDescent="0.2">
      <c r="A123" s="3"/>
      <c r="B123" s="4"/>
      <c r="C123" s="4"/>
      <c r="D123" s="4"/>
      <c r="E123" s="4"/>
      <c r="F123" s="4"/>
      <c r="G123" s="6"/>
      <c r="H123" s="4"/>
      <c r="I123" s="4"/>
      <c r="J123" s="7"/>
      <c r="K123" s="6" t="str">
        <f t="shared" si="12"/>
        <v/>
      </c>
      <c r="L123" s="6" t="str">
        <f t="shared" si="13"/>
        <v/>
      </c>
      <c r="M123" s="4"/>
      <c r="N123" s="4"/>
      <c r="O123" s="4"/>
      <c r="P123" s="4"/>
    </row>
    <row r="124" spans="1:16" ht="16" customHeight="1" x14ac:dyDescent="0.2">
      <c r="A124" s="3"/>
      <c r="B124" s="4"/>
      <c r="C124" s="4"/>
      <c r="D124" s="4"/>
      <c r="E124" s="4"/>
      <c r="F124" s="4"/>
      <c r="G124" s="6"/>
      <c r="H124" s="4"/>
      <c r="I124" s="4"/>
      <c r="J124" s="7"/>
      <c r="K124" s="6" t="str">
        <f t="shared" si="12"/>
        <v/>
      </c>
      <c r="L124" s="6" t="str">
        <f t="shared" si="13"/>
        <v/>
      </c>
      <c r="M124" s="4"/>
      <c r="N124" s="4"/>
      <c r="O124" s="4"/>
      <c r="P124" s="4"/>
    </row>
    <row r="125" spans="1:16" ht="16" customHeight="1" x14ac:dyDescent="0.2">
      <c r="A125" s="3"/>
      <c r="B125" s="4"/>
      <c r="C125" s="4"/>
      <c r="D125" s="4"/>
      <c r="E125" s="4"/>
      <c r="F125" s="4"/>
      <c r="G125" s="6"/>
      <c r="H125" s="4"/>
      <c r="I125" s="4"/>
      <c r="J125" s="7"/>
      <c r="K125" s="6" t="str">
        <f t="shared" si="12"/>
        <v/>
      </c>
      <c r="L125" s="6" t="str">
        <f t="shared" si="13"/>
        <v/>
      </c>
      <c r="M125" s="4"/>
      <c r="N125" s="4"/>
      <c r="O125" s="4"/>
      <c r="P125" s="4"/>
    </row>
    <row r="126" spans="1:16" ht="16" customHeight="1" x14ac:dyDescent="0.2">
      <c r="A126" s="3"/>
      <c r="B126" s="4"/>
      <c r="C126" s="4"/>
      <c r="D126" s="4"/>
      <c r="E126" s="4"/>
      <c r="F126" s="4"/>
      <c r="G126" s="6"/>
      <c r="H126" s="4"/>
      <c r="I126" s="4"/>
      <c r="J126" s="7"/>
      <c r="K126" s="6" t="str">
        <f t="shared" si="12"/>
        <v/>
      </c>
      <c r="L126" s="6" t="str">
        <f t="shared" si="13"/>
        <v/>
      </c>
      <c r="M126" s="4"/>
      <c r="N126" s="4"/>
      <c r="O126" s="4"/>
      <c r="P126" s="4"/>
    </row>
    <row r="127" spans="1:16" ht="16" customHeight="1" x14ac:dyDescent="0.2">
      <c r="A127" s="3"/>
      <c r="B127" s="4"/>
      <c r="C127" s="4"/>
      <c r="D127" s="4"/>
      <c r="E127" s="4"/>
      <c r="F127" s="4"/>
      <c r="G127" s="6"/>
      <c r="H127" s="4"/>
      <c r="I127" s="4"/>
      <c r="J127" s="7"/>
      <c r="K127" s="6" t="str">
        <f t="shared" si="12"/>
        <v/>
      </c>
      <c r="L127" s="6" t="str">
        <f t="shared" si="13"/>
        <v/>
      </c>
      <c r="M127" s="4"/>
      <c r="N127" s="4"/>
      <c r="O127" s="4"/>
      <c r="P127" s="4"/>
    </row>
    <row r="128" spans="1:16" ht="16" customHeight="1" x14ac:dyDescent="0.2">
      <c r="A128" s="3"/>
      <c r="B128" s="4"/>
      <c r="C128" s="4"/>
      <c r="D128" s="4"/>
      <c r="E128" s="4"/>
      <c r="F128" s="4"/>
      <c r="G128" s="6"/>
      <c r="H128" s="4"/>
      <c r="I128" s="4"/>
      <c r="J128" s="7"/>
      <c r="K128" s="6" t="str">
        <f t="shared" si="12"/>
        <v/>
      </c>
      <c r="L128" s="6" t="str">
        <f t="shared" si="13"/>
        <v/>
      </c>
      <c r="M128" s="4"/>
      <c r="N128" s="4"/>
      <c r="O128" s="4"/>
      <c r="P128" s="4"/>
    </row>
    <row r="129" spans="1:16" ht="16" customHeight="1" x14ac:dyDescent="0.2">
      <c r="A129" s="3"/>
      <c r="B129" s="4"/>
      <c r="C129" s="4"/>
      <c r="D129" s="4"/>
      <c r="E129" s="4"/>
      <c r="F129" s="4"/>
      <c r="G129" s="6"/>
      <c r="H129" s="4"/>
      <c r="I129" s="4"/>
      <c r="J129" s="7"/>
      <c r="K129" s="6" t="str">
        <f t="shared" si="12"/>
        <v/>
      </c>
      <c r="L129" s="6" t="str">
        <f t="shared" si="13"/>
        <v/>
      </c>
      <c r="M129" s="4"/>
      <c r="N129" s="4"/>
      <c r="O129" s="4"/>
      <c r="P129" s="4"/>
    </row>
    <row r="130" spans="1:16" ht="16" customHeight="1" x14ac:dyDescent="0.2">
      <c r="A130" s="3"/>
      <c r="B130" s="4"/>
      <c r="C130" s="4"/>
      <c r="D130" s="4"/>
      <c r="E130" s="4"/>
      <c r="F130" s="4"/>
      <c r="G130" s="6"/>
      <c r="H130" s="4"/>
      <c r="I130" s="4"/>
      <c r="J130" s="7"/>
      <c r="K130" s="6" t="str">
        <f t="shared" ref="K130:K151" si="15">IF(OR(G130="",I130=""),"",IF(UPPER(I130)="YES",G130*J130,0))</f>
        <v/>
      </c>
      <c r="L130" s="6" t="str">
        <f t="shared" ref="L130:L151" si="16">IF(G130="","",G130+K130)</f>
        <v/>
      </c>
      <c r="M130" s="4"/>
      <c r="N130" s="4"/>
      <c r="O130" s="4"/>
      <c r="P130" s="4"/>
    </row>
    <row r="131" spans="1:16" ht="16" customHeight="1" x14ac:dyDescent="0.2">
      <c r="A131" s="3"/>
      <c r="B131" s="4"/>
      <c r="C131" s="4"/>
      <c r="D131" s="4"/>
      <c r="E131" s="4"/>
      <c r="F131" s="4"/>
      <c r="G131" s="6"/>
      <c r="H131" s="4"/>
      <c r="I131" s="4"/>
      <c r="J131" s="7"/>
      <c r="K131" s="6" t="str">
        <f t="shared" si="15"/>
        <v/>
      </c>
      <c r="L131" s="6" t="str">
        <f t="shared" si="16"/>
        <v/>
      </c>
      <c r="M131" s="4"/>
      <c r="N131" s="4"/>
      <c r="O131" s="4"/>
      <c r="P131" s="4"/>
    </row>
    <row r="132" spans="1:16" ht="16" customHeight="1" x14ac:dyDescent="0.2">
      <c r="A132" s="3"/>
      <c r="B132" s="4"/>
      <c r="C132" s="4"/>
      <c r="D132" s="4"/>
      <c r="E132" s="4"/>
      <c r="F132" s="4"/>
      <c r="G132" s="6"/>
      <c r="H132" s="4"/>
      <c r="I132" s="4"/>
      <c r="J132" s="7"/>
      <c r="K132" s="6" t="str">
        <f t="shared" si="15"/>
        <v/>
      </c>
      <c r="L132" s="6" t="str">
        <f t="shared" si="16"/>
        <v/>
      </c>
      <c r="M132" s="4"/>
      <c r="N132" s="4"/>
      <c r="O132" s="4"/>
      <c r="P132" s="4"/>
    </row>
    <row r="133" spans="1:16" ht="16" customHeight="1" x14ac:dyDescent="0.2">
      <c r="A133" s="3"/>
      <c r="B133" s="4"/>
      <c r="C133" s="4"/>
      <c r="D133" s="4"/>
      <c r="E133" s="4"/>
      <c r="F133" s="4"/>
      <c r="G133" s="6"/>
      <c r="H133" s="4"/>
      <c r="I133" s="4"/>
      <c r="J133" s="7"/>
      <c r="K133" s="6" t="str">
        <f t="shared" si="15"/>
        <v/>
      </c>
      <c r="L133" s="6" t="str">
        <f t="shared" si="16"/>
        <v/>
      </c>
      <c r="M133" s="4"/>
      <c r="N133" s="4"/>
      <c r="O133" s="4"/>
      <c r="P133" s="4"/>
    </row>
    <row r="134" spans="1:16" ht="16" customHeight="1" x14ac:dyDescent="0.2">
      <c r="A134" s="3"/>
      <c r="B134" s="4"/>
      <c r="C134" s="4"/>
      <c r="D134" s="4"/>
      <c r="E134" s="4"/>
      <c r="F134" s="4"/>
      <c r="G134" s="6"/>
      <c r="H134" s="4"/>
      <c r="I134" s="4"/>
      <c r="J134" s="7"/>
      <c r="K134" s="6" t="str">
        <f t="shared" si="15"/>
        <v/>
      </c>
      <c r="L134" s="6" t="str">
        <f t="shared" si="16"/>
        <v/>
      </c>
      <c r="M134" s="4"/>
      <c r="N134" s="4"/>
      <c r="O134" s="4"/>
      <c r="P134" s="4"/>
    </row>
    <row r="135" spans="1:16" ht="16" customHeight="1" x14ac:dyDescent="0.2">
      <c r="A135" s="3"/>
      <c r="B135" s="4"/>
      <c r="C135" s="4"/>
      <c r="D135" s="4"/>
      <c r="E135" s="4"/>
      <c r="F135" s="4"/>
      <c r="G135" s="6"/>
      <c r="H135" s="4"/>
      <c r="I135" s="4"/>
      <c r="J135" s="7"/>
      <c r="K135" s="6" t="str">
        <f t="shared" si="15"/>
        <v/>
      </c>
      <c r="L135" s="6" t="str">
        <f t="shared" si="16"/>
        <v/>
      </c>
      <c r="M135" s="4"/>
      <c r="N135" s="4"/>
      <c r="O135" s="4"/>
      <c r="P135" s="4"/>
    </row>
    <row r="136" spans="1:16" ht="16" customHeight="1" x14ac:dyDescent="0.2">
      <c r="A136" s="3"/>
      <c r="B136" s="4"/>
      <c r="C136" s="4"/>
      <c r="D136" s="4"/>
      <c r="E136" s="4"/>
      <c r="F136" s="4"/>
      <c r="G136" s="6"/>
      <c r="H136" s="4"/>
      <c r="I136" s="4"/>
      <c r="J136" s="7"/>
      <c r="K136" s="6" t="str">
        <f t="shared" si="15"/>
        <v/>
      </c>
      <c r="L136" s="6" t="str">
        <f t="shared" si="16"/>
        <v/>
      </c>
      <c r="M136" s="4"/>
      <c r="N136" s="4"/>
      <c r="O136" s="4"/>
      <c r="P136" s="4"/>
    </row>
    <row r="137" spans="1:16" ht="16" customHeight="1" x14ac:dyDescent="0.2">
      <c r="A137" s="3"/>
      <c r="B137" s="4"/>
      <c r="C137" s="4"/>
      <c r="D137" s="4"/>
      <c r="E137" s="4"/>
      <c r="F137" s="4"/>
      <c r="G137" s="6"/>
      <c r="H137" s="4"/>
      <c r="I137" s="4"/>
      <c r="J137" s="7"/>
      <c r="K137" s="6" t="str">
        <f t="shared" si="15"/>
        <v/>
      </c>
      <c r="L137" s="6" t="str">
        <f t="shared" si="16"/>
        <v/>
      </c>
      <c r="M137" s="4"/>
      <c r="N137" s="4"/>
      <c r="O137" s="4"/>
      <c r="P137" s="4"/>
    </row>
    <row r="138" spans="1:16" ht="16" customHeight="1" x14ac:dyDescent="0.2">
      <c r="A138" s="3"/>
      <c r="B138" s="4"/>
      <c r="C138" s="4"/>
      <c r="D138" s="4"/>
      <c r="E138" s="4"/>
      <c r="F138" s="4"/>
      <c r="G138" s="6"/>
      <c r="H138" s="4"/>
      <c r="I138" s="4"/>
      <c r="J138" s="7"/>
      <c r="K138" s="6" t="str">
        <f t="shared" si="15"/>
        <v/>
      </c>
      <c r="L138" s="6" t="str">
        <f t="shared" si="16"/>
        <v/>
      </c>
      <c r="M138" s="4"/>
      <c r="N138" s="4"/>
      <c r="O138" s="4"/>
      <c r="P138" s="4"/>
    </row>
    <row r="139" spans="1:16" ht="16" customHeight="1" x14ac:dyDescent="0.2">
      <c r="A139" s="3"/>
      <c r="B139" s="4"/>
      <c r="C139" s="4"/>
      <c r="D139" s="4"/>
      <c r="E139" s="4"/>
      <c r="F139" s="4"/>
      <c r="G139" s="6"/>
      <c r="H139" s="4"/>
      <c r="I139" s="4"/>
      <c r="J139" s="7"/>
      <c r="K139" s="6" t="str">
        <f t="shared" si="15"/>
        <v/>
      </c>
      <c r="L139" s="6" t="str">
        <f t="shared" si="16"/>
        <v/>
      </c>
      <c r="M139" s="4"/>
      <c r="N139" s="4"/>
      <c r="O139" s="4"/>
      <c r="P139" s="4"/>
    </row>
    <row r="140" spans="1:16" ht="16" customHeight="1" x14ac:dyDescent="0.2">
      <c r="A140" s="3"/>
      <c r="B140" s="4"/>
      <c r="C140" s="4"/>
      <c r="D140" s="4"/>
      <c r="E140" s="4"/>
      <c r="F140" s="4"/>
      <c r="G140" s="6"/>
      <c r="H140" s="4"/>
      <c r="I140" s="4"/>
      <c r="J140" s="7"/>
      <c r="K140" s="6" t="str">
        <f t="shared" si="15"/>
        <v/>
      </c>
      <c r="L140" s="6" t="str">
        <f t="shared" si="16"/>
        <v/>
      </c>
      <c r="M140" s="4"/>
      <c r="N140" s="4"/>
      <c r="O140" s="4"/>
      <c r="P140" s="4"/>
    </row>
    <row r="141" spans="1:16" ht="16" customHeight="1" x14ac:dyDescent="0.2">
      <c r="A141" s="3"/>
      <c r="B141" s="4"/>
      <c r="C141" s="4"/>
      <c r="D141" s="4"/>
      <c r="E141" s="4"/>
      <c r="F141" s="4"/>
      <c r="G141" s="6"/>
      <c r="H141" s="4"/>
      <c r="I141" s="4"/>
      <c r="J141" s="7"/>
      <c r="K141" s="6" t="str">
        <f t="shared" si="15"/>
        <v/>
      </c>
      <c r="L141" s="6" t="str">
        <f t="shared" si="16"/>
        <v/>
      </c>
      <c r="M141" s="4"/>
      <c r="N141" s="4"/>
      <c r="O141" s="4"/>
      <c r="P141" s="4"/>
    </row>
    <row r="142" spans="1:16" ht="16" customHeight="1" x14ac:dyDescent="0.2">
      <c r="A142" s="3"/>
      <c r="B142" s="4"/>
      <c r="C142" s="4"/>
      <c r="D142" s="4"/>
      <c r="E142" s="4"/>
      <c r="F142" s="4"/>
      <c r="G142" s="6"/>
      <c r="H142" s="4"/>
      <c r="I142" s="4"/>
      <c r="J142" s="7"/>
      <c r="K142" s="6" t="str">
        <f t="shared" si="15"/>
        <v/>
      </c>
      <c r="L142" s="6" t="str">
        <f t="shared" si="16"/>
        <v/>
      </c>
      <c r="M142" s="4"/>
      <c r="N142" s="4"/>
      <c r="O142" s="4"/>
      <c r="P142" s="4"/>
    </row>
    <row r="143" spans="1:16" ht="16" customHeight="1" x14ac:dyDescent="0.2">
      <c r="A143" s="3"/>
      <c r="B143" s="4"/>
      <c r="C143" s="4"/>
      <c r="D143" s="4"/>
      <c r="E143" s="4"/>
      <c r="F143" s="4"/>
      <c r="G143" s="6"/>
      <c r="H143" s="4"/>
      <c r="I143" s="4"/>
      <c r="J143" s="7"/>
      <c r="K143" s="6" t="str">
        <f t="shared" si="15"/>
        <v/>
      </c>
      <c r="L143" s="6" t="str">
        <f t="shared" si="16"/>
        <v/>
      </c>
      <c r="M143" s="4"/>
      <c r="N143" s="4"/>
      <c r="O143" s="4"/>
      <c r="P143" s="4"/>
    </row>
    <row r="144" spans="1:16" ht="16" customHeight="1" x14ac:dyDescent="0.2">
      <c r="A144" s="3"/>
      <c r="B144" s="4"/>
      <c r="C144" s="4"/>
      <c r="D144" s="4"/>
      <c r="E144" s="4"/>
      <c r="F144" s="4"/>
      <c r="G144" s="6"/>
      <c r="H144" s="4"/>
      <c r="I144" s="4"/>
      <c r="J144" s="7"/>
      <c r="K144" s="6" t="str">
        <f t="shared" si="15"/>
        <v/>
      </c>
      <c r="L144" s="6" t="str">
        <f t="shared" si="16"/>
        <v/>
      </c>
      <c r="M144" s="4"/>
      <c r="N144" s="4"/>
      <c r="O144" s="4"/>
      <c r="P144" s="4"/>
    </row>
    <row r="145" spans="1:16" ht="16" customHeight="1" x14ac:dyDescent="0.2">
      <c r="A145" s="3"/>
      <c r="B145" s="4"/>
      <c r="C145" s="4"/>
      <c r="D145" s="4"/>
      <c r="E145" s="4"/>
      <c r="F145" s="4"/>
      <c r="G145" s="6"/>
      <c r="H145" s="4"/>
      <c r="I145" s="4"/>
      <c r="J145" s="7"/>
      <c r="K145" s="6" t="str">
        <f t="shared" si="15"/>
        <v/>
      </c>
      <c r="L145" s="6" t="str">
        <f t="shared" si="16"/>
        <v/>
      </c>
      <c r="M145" s="4"/>
      <c r="N145" s="4"/>
      <c r="O145" s="4"/>
      <c r="P145" s="4"/>
    </row>
    <row r="146" spans="1:16" ht="16" customHeight="1" x14ac:dyDescent="0.2">
      <c r="A146" s="3"/>
      <c r="B146" s="4"/>
      <c r="C146" s="4"/>
      <c r="D146" s="4"/>
      <c r="E146" s="4"/>
      <c r="F146" s="4"/>
      <c r="G146" s="6"/>
      <c r="H146" s="4"/>
      <c r="I146" s="4"/>
      <c r="J146" s="7"/>
      <c r="K146" s="6" t="str">
        <f t="shared" si="15"/>
        <v/>
      </c>
      <c r="L146" s="6" t="str">
        <f t="shared" si="16"/>
        <v/>
      </c>
      <c r="M146" s="4"/>
      <c r="N146" s="4"/>
      <c r="O146" s="4"/>
      <c r="P146" s="4"/>
    </row>
    <row r="147" spans="1:16" ht="16" customHeight="1" x14ac:dyDescent="0.2">
      <c r="A147" s="3"/>
      <c r="B147" s="4"/>
      <c r="C147" s="4"/>
      <c r="D147" s="4"/>
      <c r="E147" s="4"/>
      <c r="F147" s="4"/>
      <c r="G147" s="6"/>
      <c r="H147" s="4"/>
      <c r="I147" s="4"/>
      <c r="J147" s="7"/>
      <c r="K147" s="6" t="str">
        <f t="shared" si="15"/>
        <v/>
      </c>
      <c r="L147" s="6" t="str">
        <f t="shared" si="16"/>
        <v/>
      </c>
      <c r="M147" s="4"/>
      <c r="N147" s="4"/>
      <c r="O147" s="4"/>
      <c r="P147" s="4"/>
    </row>
    <row r="148" spans="1:16" ht="16" customHeight="1" x14ac:dyDescent="0.2">
      <c r="A148" s="3"/>
      <c r="B148" s="4"/>
      <c r="C148" s="4"/>
      <c r="D148" s="4"/>
      <c r="E148" s="4"/>
      <c r="F148" s="4"/>
      <c r="G148" s="6"/>
      <c r="H148" s="4"/>
      <c r="I148" s="4"/>
      <c r="J148" s="7"/>
      <c r="K148" s="6" t="str">
        <f t="shared" si="15"/>
        <v/>
      </c>
      <c r="L148" s="6" t="str">
        <f t="shared" si="16"/>
        <v/>
      </c>
      <c r="M148" s="4"/>
      <c r="N148" s="4"/>
      <c r="O148" s="4"/>
      <c r="P148" s="4"/>
    </row>
    <row r="149" spans="1:16" ht="16" customHeight="1" x14ac:dyDescent="0.2">
      <c r="A149" s="3"/>
      <c r="B149" s="4"/>
      <c r="C149" s="4"/>
      <c r="D149" s="4"/>
      <c r="E149" s="4"/>
      <c r="F149" s="4"/>
      <c r="G149" s="6"/>
      <c r="H149" s="4"/>
      <c r="I149" s="4"/>
      <c r="J149" s="7"/>
      <c r="K149" s="6" t="str">
        <f t="shared" si="15"/>
        <v/>
      </c>
      <c r="L149" s="6" t="str">
        <f t="shared" si="16"/>
        <v/>
      </c>
      <c r="M149" s="4"/>
      <c r="N149" s="4"/>
      <c r="O149" s="4"/>
      <c r="P149" s="4"/>
    </row>
    <row r="150" spans="1:16" ht="16" customHeight="1" x14ac:dyDescent="0.2">
      <c r="A150" s="3"/>
      <c r="B150" s="4"/>
      <c r="C150" s="4"/>
      <c r="D150" s="4"/>
      <c r="E150" s="4"/>
      <c r="F150" s="4"/>
      <c r="G150" s="6"/>
      <c r="H150" s="4"/>
      <c r="I150" s="4"/>
      <c r="J150" s="7"/>
      <c r="K150" s="6" t="str">
        <f t="shared" si="15"/>
        <v/>
      </c>
      <c r="L150" s="6" t="str">
        <f t="shared" si="16"/>
        <v/>
      </c>
      <c r="M150" s="4"/>
      <c r="N150" s="4"/>
      <c r="O150" s="4"/>
      <c r="P150" s="4"/>
    </row>
    <row r="151" spans="1:16" ht="16" customHeight="1" x14ac:dyDescent="0.2">
      <c r="A151" s="3"/>
      <c r="B151" s="4"/>
      <c r="C151" s="4"/>
      <c r="D151" s="4"/>
      <c r="E151" s="4"/>
      <c r="F151" s="4"/>
      <c r="G151" s="6"/>
      <c r="H151" s="4"/>
      <c r="I151" s="4"/>
      <c r="J151" s="7"/>
      <c r="K151" s="6" t="str">
        <f t="shared" si="15"/>
        <v/>
      </c>
      <c r="L151" s="6" t="str">
        <f t="shared" si="16"/>
        <v/>
      </c>
      <c r="M151" s="4"/>
      <c r="N151" s="4"/>
      <c r="O151" s="4"/>
      <c r="P151" s="4"/>
    </row>
  </sheetData>
  <dataValidations count="2">
    <dataValidation type="list" allowBlank="1" sqref="M2:M1501 I2:I1501" xr:uid="{00000000-0002-0000-0300-000000000000}">
      <formula1>"Yes,No"</formula1>
    </dataValidation>
    <dataValidation type="list" allowBlank="1" sqref="N2:N1501" xr:uid="{00000000-0002-0000-0300-000001000000}">
      <formula1>"Pending,Posted"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14" customWidth="1"/>
    <col min="4" max="4" width="32" customWidth="1"/>
    <col min="5" max="5" width="18" customWidth="1"/>
    <col min="6" max="9" width="14" customWidth="1"/>
    <col min="10" max="10" width="18" customWidth="1"/>
    <col min="11" max="11" width="28" customWidth="1"/>
  </cols>
  <sheetData>
    <row r="1" spans="1:11" ht="32" customHeight="1" x14ac:dyDescent="0.2">
      <c r="A1" s="2" t="s">
        <v>97</v>
      </c>
      <c r="B1" s="2" t="s">
        <v>72</v>
      </c>
      <c r="C1" s="2" t="s">
        <v>137</v>
      </c>
      <c r="D1" s="2" t="s">
        <v>98</v>
      </c>
      <c r="E1" s="2" t="s">
        <v>76</v>
      </c>
      <c r="F1" s="2" t="s">
        <v>101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3</v>
      </c>
    </row>
    <row r="2" spans="1:11" ht="32" customHeight="1" x14ac:dyDescent="0.2">
      <c r="A2" s="3"/>
      <c r="B2" s="4" t="s">
        <v>83</v>
      </c>
      <c r="C2" s="4" t="s">
        <v>61</v>
      </c>
      <c r="D2" s="4" t="s">
        <v>142</v>
      </c>
      <c r="E2" s="4" t="s">
        <v>62</v>
      </c>
      <c r="F2" s="6">
        <v>7800</v>
      </c>
      <c r="G2" s="4" t="s">
        <v>143</v>
      </c>
      <c r="H2" s="4" t="s">
        <v>40</v>
      </c>
      <c r="I2" s="3"/>
      <c r="J2" s="4"/>
      <c r="K2" s="4"/>
    </row>
    <row r="3" spans="1:11" ht="32" customHeight="1" x14ac:dyDescent="0.2">
      <c r="A3" s="3"/>
      <c r="B3" s="4" t="s">
        <v>83</v>
      </c>
      <c r="C3" s="4" t="s">
        <v>42</v>
      </c>
      <c r="D3" s="4" t="s">
        <v>144</v>
      </c>
      <c r="E3" s="4" t="s">
        <v>62</v>
      </c>
      <c r="F3" s="6">
        <v>8817.5499999999993</v>
      </c>
      <c r="G3" s="4" t="s">
        <v>143</v>
      </c>
      <c r="H3" s="4" t="s">
        <v>40</v>
      </c>
      <c r="I3" s="3"/>
      <c r="J3" s="4"/>
      <c r="K3" s="4"/>
    </row>
    <row r="4" spans="1:11" ht="32" customHeight="1" x14ac:dyDescent="0.2">
      <c r="A4" s="3"/>
      <c r="B4" s="4" t="s">
        <v>83</v>
      </c>
      <c r="C4" s="4" t="s">
        <v>52</v>
      </c>
      <c r="D4" s="4" t="s">
        <v>144</v>
      </c>
      <c r="E4" s="4" t="s">
        <v>62</v>
      </c>
      <c r="F4" s="6">
        <v>200</v>
      </c>
      <c r="G4" s="4" t="s">
        <v>143</v>
      </c>
      <c r="H4" s="4" t="s">
        <v>40</v>
      </c>
      <c r="I4" s="3"/>
      <c r="J4" s="4"/>
      <c r="K4" s="4"/>
    </row>
    <row r="5" spans="1:11" x14ac:dyDescent="0.2">
      <c r="A5" s="3"/>
      <c r="B5" s="4"/>
      <c r="C5" s="4"/>
      <c r="D5" s="4"/>
      <c r="E5" s="4"/>
      <c r="F5" s="6"/>
      <c r="G5" s="4"/>
      <c r="H5" s="4"/>
      <c r="I5" s="3"/>
      <c r="J5" s="4"/>
      <c r="K5" s="4"/>
    </row>
    <row r="6" spans="1:11" x14ac:dyDescent="0.2">
      <c r="A6" s="3"/>
      <c r="B6" s="4"/>
      <c r="C6" s="4"/>
      <c r="D6" s="4"/>
      <c r="E6" s="4"/>
      <c r="F6" s="6"/>
      <c r="G6" s="4"/>
      <c r="H6" s="4"/>
      <c r="I6" s="3"/>
      <c r="J6" s="4"/>
      <c r="K6" s="4"/>
    </row>
    <row r="7" spans="1:11" x14ac:dyDescent="0.2">
      <c r="A7" s="3"/>
      <c r="B7" s="4"/>
      <c r="C7" s="4"/>
      <c r="D7" s="4"/>
      <c r="E7" s="4"/>
      <c r="F7" s="6"/>
      <c r="G7" s="4"/>
      <c r="H7" s="4"/>
      <c r="I7" s="3"/>
      <c r="J7" s="4"/>
      <c r="K7" s="4"/>
    </row>
    <row r="8" spans="1:11" x14ac:dyDescent="0.2">
      <c r="A8" s="3"/>
      <c r="B8" s="4"/>
      <c r="C8" s="4"/>
      <c r="D8" s="4"/>
      <c r="E8" s="4"/>
      <c r="F8" s="6"/>
      <c r="G8" s="4"/>
      <c r="H8" s="4"/>
      <c r="I8" s="3"/>
      <c r="J8" s="4"/>
      <c r="K8" s="4"/>
    </row>
    <row r="9" spans="1:11" x14ac:dyDescent="0.2">
      <c r="A9" s="3"/>
      <c r="B9" s="4"/>
      <c r="C9" s="4"/>
      <c r="D9" s="4"/>
      <c r="E9" s="4"/>
      <c r="F9" s="6"/>
      <c r="G9" s="4"/>
      <c r="H9" s="4"/>
      <c r="I9" s="3"/>
      <c r="J9" s="4"/>
      <c r="K9" s="4"/>
    </row>
    <row r="10" spans="1:11" x14ac:dyDescent="0.2">
      <c r="A10" s="3"/>
      <c r="B10" s="4"/>
      <c r="C10" s="4"/>
      <c r="D10" s="4"/>
      <c r="E10" s="4"/>
      <c r="F10" s="6"/>
      <c r="G10" s="4"/>
      <c r="H10" s="4"/>
      <c r="I10" s="3"/>
      <c r="J10" s="4"/>
      <c r="K10" s="4"/>
    </row>
    <row r="11" spans="1:11" x14ac:dyDescent="0.2">
      <c r="A11" s="3"/>
      <c r="B11" s="4"/>
      <c r="C11" s="4"/>
      <c r="D11" s="4"/>
      <c r="E11" s="4"/>
      <c r="F11" s="6"/>
      <c r="G11" s="4"/>
      <c r="H11" s="4"/>
      <c r="I11" s="3"/>
      <c r="J11" s="4"/>
      <c r="K11" s="4"/>
    </row>
    <row r="12" spans="1:11" x14ac:dyDescent="0.2">
      <c r="A12" s="3"/>
      <c r="B12" s="4"/>
      <c r="C12" s="4"/>
      <c r="D12" s="4"/>
      <c r="E12" s="4"/>
      <c r="F12" s="6"/>
      <c r="G12" s="4"/>
      <c r="H12" s="4"/>
      <c r="I12" s="3"/>
      <c r="J12" s="4"/>
      <c r="K12" s="4"/>
    </row>
    <row r="13" spans="1:11" x14ac:dyDescent="0.2">
      <c r="A13" s="3"/>
      <c r="B13" s="4"/>
      <c r="C13" s="4"/>
      <c r="D13" s="4"/>
      <c r="E13" s="4"/>
      <c r="F13" s="6"/>
      <c r="G13" s="4"/>
      <c r="H13" s="4"/>
      <c r="I13" s="3"/>
      <c r="J13" s="4"/>
      <c r="K13" s="4"/>
    </row>
    <row r="14" spans="1:11" x14ac:dyDescent="0.2">
      <c r="A14" s="3"/>
      <c r="B14" s="4"/>
      <c r="C14" s="4"/>
      <c r="D14" s="4"/>
      <c r="E14" s="4"/>
      <c r="F14" s="6"/>
      <c r="G14" s="4"/>
      <c r="H14" s="4"/>
      <c r="I14" s="3"/>
      <c r="J14" s="4"/>
      <c r="K14" s="4"/>
    </row>
  </sheetData>
  <dataValidations count="1">
    <dataValidation type="list" allowBlank="1" sqref="G2:G801" xr:uid="{00000000-0002-0000-0400-000000000000}">
      <formula1>"Advance,Reimbursement"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topLeftCell="A7" zoomScale="125" zoomScaleNormal="125" workbookViewId="0">
      <selection activeCell="E17" sqref="E17"/>
    </sheetView>
  </sheetViews>
  <sheetFormatPr baseColWidth="10" defaultColWidth="8.83203125" defaultRowHeight="15" x14ac:dyDescent="0.2"/>
  <cols>
    <col min="1" max="1" width="42" customWidth="1"/>
    <col min="2" max="2" width="20" customWidth="1"/>
    <col min="3" max="3" width="16" customWidth="1"/>
    <col min="4" max="4" width="22" customWidth="1"/>
    <col min="5" max="5" width="18" customWidth="1"/>
    <col min="6" max="6" width="22" customWidth="1"/>
    <col min="7" max="7" width="18" customWidth="1"/>
    <col min="8" max="8" width="22" customWidth="1"/>
  </cols>
  <sheetData>
    <row r="1" spans="1:8" ht="19" customHeight="1" x14ac:dyDescent="0.2">
      <c r="A1" s="49" t="s">
        <v>145</v>
      </c>
      <c r="B1" s="43"/>
      <c r="C1" s="43"/>
      <c r="D1" s="43"/>
      <c r="E1" s="43"/>
      <c r="F1" s="43"/>
      <c r="G1" s="43"/>
      <c r="H1" s="43"/>
    </row>
    <row r="3" spans="1:8" x14ac:dyDescent="0.2">
      <c r="A3" s="1" t="s">
        <v>146</v>
      </c>
      <c r="B3" s="8" t="s">
        <v>83</v>
      </c>
      <c r="C3" s="1" t="s">
        <v>147</v>
      </c>
      <c r="D3" s="8"/>
    </row>
    <row r="4" spans="1:8" ht="17" customHeight="1" x14ac:dyDescent="0.2">
      <c r="A4" s="45" t="s">
        <v>148</v>
      </c>
      <c r="B4" s="43"/>
      <c r="C4" s="43"/>
      <c r="D4" s="43"/>
      <c r="E4" s="43"/>
      <c r="F4" s="43"/>
      <c r="G4" s="43"/>
      <c r="H4" s="43"/>
    </row>
    <row r="5" spans="1:8" x14ac:dyDescent="0.2">
      <c r="A5" s="13"/>
      <c r="B5" s="14"/>
      <c r="C5" s="13"/>
      <c r="D5" s="13"/>
      <c r="E5" s="13"/>
      <c r="F5" s="13"/>
      <c r="G5" s="13"/>
      <c r="H5" s="13"/>
    </row>
    <row r="6" spans="1:8" ht="16" customHeight="1" x14ac:dyDescent="0.2">
      <c r="A6" s="9" t="s">
        <v>149</v>
      </c>
      <c r="B6" s="15">
        <f>Approved_KRIS!B29</f>
        <v>1600500</v>
      </c>
      <c r="C6" s="25"/>
      <c r="D6" s="26"/>
      <c r="F6" s="19" t="s">
        <v>150</v>
      </c>
      <c r="G6" s="28">
        <f>Approved_KRIS!B26</f>
        <v>80000</v>
      </c>
    </row>
    <row r="7" spans="1:8" ht="16" customHeight="1" x14ac:dyDescent="0.2">
      <c r="A7" s="19" t="s">
        <v>151</v>
      </c>
      <c r="B7" s="20">
        <f>E17+E35</f>
        <v>1030841.3030000001</v>
      </c>
      <c r="C7" s="25"/>
      <c r="D7" s="27"/>
      <c r="E7" s="2" t="s">
        <v>101</v>
      </c>
      <c r="F7" s="19" t="s">
        <v>28</v>
      </c>
      <c r="G7" s="28">
        <f>Approved_KRIS!B28</f>
        <v>145500</v>
      </c>
      <c r="H7" s="13"/>
    </row>
    <row r="8" spans="1:8" hidden="1" x14ac:dyDescent="0.2">
      <c r="A8" s="19" t="s">
        <v>152</v>
      </c>
      <c r="B8" s="20">
        <f>IF($B$3="","",SUMIFS(tblExpenses[VAT Amount (Rs)],tblExpenses[Project],$B$3))</f>
        <v>9249.4934999999987</v>
      </c>
      <c r="C8" s="25"/>
      <c r="D8" s="27"/>
      <c r="E8" s="20" t="str">
        <f>IF($B$3="","",IF(SUMIFS(tblExpenses[Total excl VAT (Rs)],tblExpenses[Project],$B$3,tblExpenses[Paid By],$D8)=0,"",SUMIFS(tblExpenses[Total excl VAT (Rs)],tblExpenses[Project],$B$3,tblExpenses[Paid By],$D8)))</f>
        <v/>
      </c>
      <c r="F8" s="19" t="s">
        <v>153</v>
      </c>
      <c r="G8" s="28">
        <f>Approved_KRIS!B29</f>
        <v>1600500</v>
      </c>
      <c r="H8" s="13"/>
    </row>
    <row r="9" spans="1:8" x14ac:dyDescent="0.2">
      <c r="A9" s="19" t="s">
        <v>154</v>
      </c>
      <c r="B9" s="20">
        <f>B7*15%</f>
        <v>154626.19545</v>
      </c>
      <c r="C9" s="13"/>
      <c r="D9" s="16" t="s">
        <v>42</v>
      </c>
      <c r="E9" s="20">
        <f>IF($B$3="","",IF(SUMIFS(tblExpenses[Total excl VAT (Rs)],tblExpenses[Project],$B$3,tblExpenses[Paid By],$D9)=0,"",SUMIFS(tblExpenses[Total excl VAT (Rs)],tblExpenses[Project],$B$3,tblExpenses[Paid By],$D9)))</f>
        <v>7494.9174999999996</v>
      </c>
      <c r="F9" s="19" t="s">
        <v>155</v>
      </c>
      <c r="G9" s="20">
        <f>Approved_KRIS!B30</f>
        <v>240075</v>
      </c>
      <c r="H9" s="13"/>
    </row>
    <row r="10" spans="1:8" x14ac:dyDescent="0.2">
      <c r="A10" s="19" t="s">
        <v>156</v>
      </c>
      <c r="B10" s="20">
        <f>IF(OR(B6="",B9=""),"",B6-B9)</f>
        <v>1445873.80455</v>
      </c>
      <c r="C10" s="13"/>
      <c r="D10" s="16" t="s">
        <v>47</v>
      </c>
      <c r="E10" s="20" t="str">
        <f>IF($B$3="","",IF(SUMIFS(tblExpenses[Total excl VAT (Rs)],tblExpenses[Project],$B$3,tblExpenses[Paid By],$D10)=0,"",SUMIFS(tblExpenses[Total excl VAT (Rs)],tblExpenses[Project],$B$3,tblExpenses[Paid By],$D10)))</f>
        <v/>
      </c>
      <c r="F10" s="19" t="s">
        <v>157</v>
      </c>
      <c r="G10" s="20">
        <f>Approved_KRIS!B31</f>
        <v>1840575</v>
      </c>
      <c r="H10" s="13"/>
    </row>
    <row r="11" spans="1:8" x14ac:dyDescent="0.2">
      <c r="A11" s="19" t="s">
        <v>158</v>
      </c>
      <c r="B11" s="21">
        <f>IF(B6="","",IF(B6=0,"",B10/B6))</f>
        <v>0.90338881883786315</v>
      </c>
      <c r="C11" s="13"/>
      <c r="D11" s="16" t="s">
        <v>52</v>
      </c>
      <c r="E11" s="20" t="str">
        <f>IF($B$3="","",IF(SUMIFS(tblExpenses[Total excl VAT (Rs)],tblExpenses[Project],$B$3,tblExpenses[Paid By],$D11)=0,"",SUMIFS(tblExpenses[Total excl VAT (Rs)],tblExpenses[Project],$B$3,tblExpenses[Paid By],$D11)))</f>
        <v/>
      </c>
      <c r="F11" s="13"/>
      <c r="G11" s="13"/>
      <c r="H11" s="13"/>
    </row>
    <row r="12" spans="1:8" ht="16" customHeight="1" x14ac:dyDescent="0.2">
      <c r="A12" s="19" t="s">
        <v>159</v>
      </c>
      <c r="B12" s="22">
        <f>IF($B$3="","",SUMIFS(tblCash[Amount (Rs)],tblCash[Project],$B$3,tblCash[Status],"Owed"))</f>
        <v>16817.55</v>
      </c>
      <c r="D12" s="16" t="s">
        <v>56</v>
      </c>
      <c r="E12" s="20" t="str">
        <f>IF($B$3="","",IF(SUMIFS(tblExpenses[Total excl VAT (Rs)],tblExpenses[Project],$B$3,tblExpenses[Paid By],$D12)=0,"",SUMIFS(tblExpenses[Total excl VAT (Rs)],tblExpenses[Project],$B$3,tblExpenses[Paid By],$D12)))</f>
        <v/>
      </c>
      <c r="F12" s="13"/>
      <c r="G12" s="13"/>
      <c r="H12" s="13"/>
    </row>
    <row r="13" spans="1:8" ht="16" customHeight="1" x14ac:dyDescent="0.2">
      <c r="A13" s="2" t="s">
        <v>98</v>
      </c>
      <c r="B13" s="12" t="s">
        <v>34</v>
      </c>
      <c r="C13" s="2" t="s">
        <v>160</v>
      </c>
      <c r="D13" s="16" t="s">
        <v>59</v>
      </c>
      <c r="E13" s="20" t="str">
        <f>IF($B$3="","",IF(SUMIFS(tblExpenses[Total excl VAT (Rs)],tblExpenses[Project],$B$3,tblExpenses[Paid By],$D13)=0,"",SUMIFS(tblExpenses[Total excl VAT (Rs)],tblExpenses[Project],$B$3,tblExpenses[Paid By],$D13)))</f>
        <v/>
      </c>
      <c r="F13" s="13"/>
      <c r="G13" s="13"/>
      <c r="H13" s="13"/>
    </row>
    <row r="14" spans="1:8" x14ac:dyDescent="0.2">
      <c r="A14" s="47" t="s">
        <v>161</v>
      </c>
      <c r="B14" s="43"/>
      <c r="C14" s="43"/>
      <c r="D14" s="16" t="s">
        <v>61</v>
      </c>
      <c r="E14" s="20">
        <f>IF($B$3="","",IF(SUMIFS(tblExpenses[Total excl VAT (Rs)],tblExpenses[Project],$B$3,tblExpenses[Paid By],$D14)=0,"",SUMIFS(tblExpenses[Total excl VAT (Rs)],tblExpenses[Project],$B$3,tblExpenses[Paid By],$D14)))</f>
        <v>12000</v>
      </c>
      <c r="F14" s="13"/>
      <c r="G14" s="13"/>
      <c r="H14" s="13"/>
    </row>
    <row r="15" spans="1:8" x14ac:dyDescent="0.2">
      <c r="A15" s="13"/>
      <c r="B15" s="14"/>
      <c r="C15" s="13"/>
      <c r="D15" s="16" t="s">
        <v>63</v>
      </c>
      <c r="E15" s="20">
        <f>IF($B$3="","",IF(SUMIFS(tblExpenses[Total excl VAT (Rs)],tblExpenses[Project],$B$3,tblExpenses[Paid By],$D15)=0,"",SUMIFS(tblExpenses[Total excl VAT (Rs)],tblExpenses[Project],$B$3,tblExpenses[Paid By],$D15)))</f>
        <v>42753.15</v>
      </c>
      <c r="F15" s="13"/>
      <c r="G15" s="13"/>
      <c r="H15" s="13"/>
    </row>
    <row r="16" spans="1:8" ht="16" customHeight="1" x14ac:dyDescent="0.2">
      <c r="A16" s="50" t="s">
        <v>162</v>
      </c>
      <c r="B16" s="43"/>
      <c r="C16" s="43"/>
      <c r="D16" s="16" t="s">
        <v>65</v>
      </c>
      <c r="E16" s="20">
        <f>IF($B$3="","",IF(SUMIFS(tblExpenses[Total excl VAT (Rs)],tblExpenses[Project],$B$3,tblExpenses[Paid By],$D16)=0,"",SUMIFS(tblExpenses[Total excl VAT (Rs)],tblExpenses[Project],$B$3,tblExpenses[Paid By],$D16)))</f>
        <v>53352.438999999998</v>
      </c>
      <c r="F16" s="13"/>
      <c r="G16" s="13"/>
      <c r="H16" s="13"/>
    </row>
    <row r="17" spans="1:8" ht="16" customHeight="1" x14ac:dyDescent="0.2">
      <c r="A17" s="2" t="s">
        <v>76</v>
      </c>
      <c r="B17" s="12" t="s">
        <v>101</v>
      </c>
      <c r="C17" s="13"/>
      <c r="D17" s="19" t="s">
        <v>163</v>
      </c>
      <c r="E17" s="23">
        <f>SUM(E9:E16)</f>
        <v>115600.5065</v>
      </c>
      <c r="F17" s="13"/>
      <c r="G17" s="13"/>
      <c r="H17" s="13"/>
    </row>
    <row r="18" spans="1:8" x14ac:dyDescent="0.2">
      <c r="A18" s="16" t="s">
        <v>4</v>
      </c>
      <c r="B18" s="20">
        <f>IF($B$3="","",IF(SUMIFS(tblRevenue[Line Total (Rs)],tblRevenue[Project],$B$3,tblRevenue[Category],$A18)=0,"",SUMIFS(tblRevenue[Line Total (Rs)],tblRevenue[Project],$B$3,tblRevenue[Category],$A18)))</f>
        <v>300000</v>
      </c>
      <c r="C18" s="13"/>
      <c r="D18" s="13"/>
      <c r="E18" s="13"/>
      <c r="F18" s="13"/>
      <c r="G18" s="13"/>
      <c r="H18" s="13"/>
    </row>
    <row r="19" spans="1:8" ht="16" customHeight="1" x14ac:dyDescent="0.2">
      <c r="A19" s="16" t="s">
        <v>6</v>
      </c>
      <c r="B19" s="20">
        <f>IF($B$3="","",IF(SUMIFS(tblRevenue[Line Total (Rs)],tblRevenue[Project],$B$3,tblRevenue[Category],$A19)=0,"",SUMIFS(tblRevenue[Line Total (Rs)],tblRevenue[Project],$B$3,tblRevenue[Category],$A19)))</f>
        <v>525000</v>
      </c>
      <c r="C19" s="13"/>
      <c r="D19" s="17" t="s">
        <v>164</v>
      </c>
      <c r="E19" s="22" t="str">
        <f>IF($B$3="","",IF(SUMIFS(tblExpenses[Total excl VAT (Rs)],tblExpenses[Project],$B$3,tblExpenses[Paid By],$D19)=0,"",SUMIFS(tblExpenses[Total excl VAT (Rs)],tblExpenses[Project],$B$3,tblExpenses[Paid By],$D19)))</f>
        <v/>
      </c>
    </row>
    <row r="20" spans="1:8" ht="16" customHeight="1" x14ac:dyDescent="0.2">
      <c r="A20" s="16" t="s">
        <v>45</v>
      </c>
      <c r="B20" s="20">
        <f>IF($B$3="","",IF(SUMIFS(tblRevenue[Line Total (Rs)],tblRevenue[Project],$B$3,tblRevenue[Category],$A20)=0,"",SUMIFS(tblRevenue[Line Total (Rs)],tblRevenue[Project],$B$3,tblRevenue[Category],$A20)))</f>
        <v>320000</v>
      </c>
      <c r="C20" s="13"/>
      <c r="D20" s="2" t="s">
        <v>76</v>
      </c>
      <c r="E20" s="24" t="str">
        <f>IF($B$3="","",IF(SUMIFS(tblExpenses[Total excl VAT (Rs)],tblExpenses[Project],$B$3,tblExpenses[Paid By],$D20)=0,"",SUMIFS(tblExpenses[Total excl VAT (Rs)],tblExpenses[Project],$B$3,tblExpenses[Paid By],$D20)))</f>
        <v/>
      </c>
      <c r="F20" s="13"/>
      <c r="G20" s="13"/>
      <c r="H20" s="13"/>
    </row>
    <row r="21" spans="1:8" x14ac:dyDescent="0.2">
      <c r="A21" s="16" t="s">
        <v>50</v>
      </c>
      <c r="B21" s="20">
        <f>IF($B$3="","",IF(SUMIFS(tblRevenue[Line Total (Rs)],tblRevenue[Project],$B$3,tblRevenue[Category],$A21)=0,"",SUMIFS(tblRevenue[Line Total (Rs)],tblRevenue[Project],$B$3,tblRevenue[Category],$A21)))</f>
        <v>70000</v>
      </c>
      <c r="C21" s="13"/>
      <c r="D21" s="16" t="s">
        <v>4</v>
      </c>
      <c r="E21" s="20">
        <f>IF($B$3="","",IF(SUMIFS(tblExpenses[Total excl VAT (Rs)],tblExpenses[Project],$B$3,tblExpenses[Category],$D21)=0,"",SUMIFS(tblExpenses[Total excl VAT (Rs)],tblExpenses[Project],$B$3,tblExpenses[Category],$D21)))</f>
        <v>349000</v>
      </c>
      <c r="F21" s="13"/>
      <c r="G21" s="13"/>
      <c r="H21" s="13"/>
    </row>
    <row r="22" spans="1:8" x14ac:dyDescent="0.2">
      <c r="A22" s="16" t="s">
        <v>54</v>
      </c>
      <c r="B22" s="20" t="str">
        <f>IF($B$3="","",IF(SUMIFS(tblRevenue[Line Total (Rs)],tblRevenue[Project],$B$3,tblRevenue[Category],$A22)=0,"",SUMIFS(tblRevenue[Line Total (Rs)],tblRevenue[Project],$B$3,tblRevenue[Category],$A22)))</f>
        <v/>
      </c>
      <c r="C22" s="13"/>
      <c r="D22" s="16" t="s">
        <v>6</v>
      </c>
      <c r="E22" s="20">
        <f>IF($B$3="","",IF(SUMIFS(tblExpenses[Total excl VAT (Rs)],tblExpenses[Project],$B$3,tblExpenses[Category],$D22)=0,"",SUMIFS(tblExpenses[Total excl VAT (Rs)],tblExpenses[Project],$B$3,tblExpenses[Category],$D22)))</f>
        <v>120000</v>
      </c>
      <c r="F22" s="13"/>
      <c r="G22" s="13"/>
      <c r="H22" s="13"/>
    </row>
    <row r="23" spans="1:8" x14ac:dyDescent="0.2">
      <c r="A23" s="16" t="s">
        <v>57</v>
      </c>
      <c r="B23" s="20">
        <v>130000</v>
      </c>
      <c r="C23" s="13"/>
      <c r="D23" s="16" t="s">
        <v>45</v>
      </c>
      <c r="E23" s="20">
        <f>IF($B$3="","",IF(SUMIFS(tblExpenses[Total excl VAT (Rs)],tblExpenses[Project],$B$3,tblExpenses[Category],$D23)=0,"",SUMIFS(tblExpenses[Total excl VAT (Rs)],tblExpenses[Project],$B$3,tblExpenses[Category],$D23)))</f>
        <v>285000</v>
      </c>
      <c r="F23" s="13"/>
      <c r="G23" s="13"/>
      <c r="H23" s="13"/>
    </row>
    <row r="24" spans="1:8" x14ac:dyDescent="0.2">
      <c r="A24" s="16" t="s">
        <v>60</v>
      </c>
      <c r="B24" s="20" t="str">
        <f>IF($B$3="","",IF(SUMIFS(tblRevenue[Line Total (Rs)],tblRevenue[Project],$B$3,tblRevenue[Category],$A24)=0,"",SUMIFS(tblRevenue[Line Total (Rs)],tblRevenue[Project],$B$3,tblRevenue[Category],$A24)))</f>
        <v/>
      </c>
      <c r="C24" s="13"/>
      <c r="D24" s="16" t="s">
        <v>50</v>
      </c>
      <c r="E24" s="20">
        <f>IF($B$3="","",IF(SUMIFS(tblExpenses[Total excl VAT (Rs)],tblExpenses[Project],$B$3,tblExpenses[Category],$D24)=0,"",SUMIFS(tblExpenses[Total excl VAT (Rs)],tblExpenses[Project],$B$3,tblExpenses[Category],$D24)))</f>
        <v>810</v>
      </c>
      <c r="F24" s="13"/>
      <c r="G24" s="13"/>
      <c r="H24" s="13"/>
    </row>
    <row r="25" spans="1:8" x14ac:dyDescent="0.2">
      <c r="A25" s="16" t="s">
        <v>62</v>
      </c>
      <c r="B25" s="20">
        <f>IF($B$3="","",IF(SUMIFS(tblRevenue[Line Total (Rs)],tblRevenue[Project],$B$3,tblRevenue[Category],$A25)=0,"",SUMIFS(tblRevenue[Line Total (Rs)],tblRevenue[Project],$B$3,tblRevenue[Category],$A25)))</f>
        <v>120000</v>
      </c>
      <c r="C25" s="13"/>
      <c r="D25" s="16" t="s">
        <v>54</v>
      </c>
      <c r="E25" s="20" t="str">
        <f>IF($B$3="","",IF(SUMIFS(tblExpenses[Total excl VAT (Rs)],tblExpenses[Project],$B$3,tblExpenses[Category],$D25)=0,"",SUMIFS(tblExpenses[Total excl VAT (Rs)],tblExpenses[Project],$B$3,tblExpenses[Category],$D25)))</f>
        <v/>
      </c>
      <c r="F25" s="13"/>
      <c r="G25" s="13"/>
      <c r="H25" s="13"/>
    </row>
    <row r="26" spans="1:8" x14ac:dyDescent="0.2">
      <c r="A26" s="19" t="s">
        <v>163</v>
      </c>
      <c r="B26" s="23">
        <f>SUM(B18:B25)</f>
        <v>1465000</v>
      </c>
      <c r="C26" s="13"/>
      <c r="D26" s="16" t="s">
        <v>57</v>
      </c>
      <c r="E26" s="20">
        <f>IF($B$3="","",IF(SUMIFS(tblExpenses[Total excl VAT (Rs)],tblExpenses[Project],$B$3,tblExpenses[Category],$D26)=0,"",SUMIFS(tblExpenses[Total excl VAT (Rs)],tblExpenses[Project],$B$3,tblExpenses[Category],$D26)))</f>
        <v>70000</v>
      </c>
      <c r="F26" s="13"/>
      <c r="G26" s="13"/>
      <c r="H26" s="13"/>
    </row>
    <row r="27" spans="1:8" x14ac:dyDescent="0.2">
      <c r="A27" s="13"/>
      <c r="B27" s="13"/>
      <c r="C27" s="13"/>
      <c r="D27" s="16" t="s">
        <v>60</v>
      </c>
      <c r="E27" s="20" t="str">
        <f>IF($B$3="","",IF(SUMIFS(tblExpenses[Total excl VAT (Rs)],tblExpenses[Project],$B$3,tblExpenses[Category],$D27)=0,"",SUMIFS(tblExpenses[Total excl VAT (Rs)],tblExpenses[Project],$B$3,tblExpenses[Category],$D27)))</f>
        <v/>
      </c>
      <c r="F27" s="13"/>
      <c r="G27" s="13"/>
      <c r="H27" s="13"/>
    </row>
    <row r="28" spans="1:8" x14ac:dyDescent="0.2">
      <c r="A28" s="13"/>
      <c r="D28" s="11" t="s">
        <v>62</v>
      </c>
      <c r="E28" s="20">
        <f>IF($B$3="","",IF(SUMIFS(tblExpenses[Total excl VAT (Rs)],tblExpenses[Project],$B$3,tblExpenses[Category],$D28)=0,"",SUMIFS(tblExpenses[Total excl VAT (Rs)],tblExpenses[Project],$B$3,tblExpenses[Category],$D28)))</f>
        <v>52413.796500000004</v>
      </c>
      <c r="F28" s="13"/>
      <c r="G28" s="13"/>
      <c r="H28" s="13"/>
    </row>
    <row r="29" spans="1:8" x14ac:dyDescent="0.2">
      <c r="A29" s="13"/>
      <c r="B29" s="13"/>
      <c r="C29" s="13"/>
      <c r="D29" s="16" t="s">
        <v>64</v>
      </c>
      <c r="E29" s="20">
        <f>IF($B$3="","",IF(SUMIFS(tblExpenses[Total excl VAT (Rs)],tblExpenses[Project],$B$3,tblExpenses[Category],$D29)=0,"",SUMIFS(tblExpenses[Total excl VAT (Rs)],tblExpenses[Project],$B$3,tblExpenses[Category],$D29)))</f>
        <v>38000</v>
      </c>
      <c r="F29" s="13"/>
      <c r="G29" s="13"/>
      <c r="H29" s="13"/>
    </row>
    <row r="30" spans="1:8" x14ac:dyDescent="0.2">
      <c r="A30" s="13"/>
      <c r="B30" s="14"/>
      <c r="C30" s="13"/>
      <c r="D30" s="16" t="s">
        <v>66</v>
      </c>
      <c r="E30" s="20" t="str">
        <f>IF($B$3="","",IF(SUMIFS(tblExpenses[Total excl VAT (Rs)],tblExpenses[Project],$B$3,tblExpenses[Category],$D30)=0,"",SUMIFS(tblExpenses[Total excl VAT (Rs)],tblExpenses[Project],$B$3,tblExpenses[Category],$D30)))</f>
        <v/>
      </c>
      <c r="F30" s="13"/>
      <c r="G30" s="13"/>
      <c r="H30" s="13"/>
    </row>
    <row r="31" spans="1:8" x14ac:dyDescent="0.2">
      <c r="A31" s="13"/>
      <c r="B31" s="14"/>
      <c r="C31" s="13"/>
      <c r="D31" s="16" t="s">
        <v>67</v>
      </c>
      <c r="E31" s="20" t="str">
        <f>IF($B$3="","",IF(SUMIFS(tblExpenses[Total excl VAT (Rs)],tblExpenses[Project],$B$3,tblExpenses[Category],$D31)=0,"",SUMIFS(tblExpenses[Total excl VAT (Rs)],tblExpenses[Project],$B$3,tblExpenses[Category],$D31)))</f>
        <v/>
      </c>
      <c r="F31" s="13"/>
      <c r="G31" s="13"/>
      <c r="H31" s="13"/>
    </row>
    <row r="32" spans="1:8" x14ac:dyDescent="0.2">
      <c r="A32" s="13"/>
      <c r="B32" s="14"/>
      <c r="C32" s="13"/>
      <c r="D32" s="16" t="s">
        <v>68</v>
      </c>
      <c r="E32" s="20" t="str">
        <f>IF($B$3="","",IF(SUMIFS(tblExpenses[Total excl VAT (Rs)],tblExpenses[Project],$B$3,tblExpenses[Category],$D32)=0,"",SUMIFS(tblExpenses[Total excl VAT (Rs)],tblExpenses[Project],$B$3,tblExpenses[Category],$D32)))</f>
        <v/>
      </c>
      <c r="F32" s="13"/>
      <c r="G32" s="13"/>
      <c r="H32" s="13"/>
    </row>
    <row r="33" spans="1:8" x14ac:dyDescent="0.2">
      <c r="A33" s="13"/>
      <c r="B33" s="14"/>
      <c r="C33" s="13"/>
      <c r="D33" s="34" t="s">
        <v>170</v>
      </c>
      <c r="F33" s="13"/>
      <c r="G33" s="13"/>
      <c r="H33" s="13"/>
    </row>
    <row r="34" spans="1:8" x14ac:dyDescent="0.2">
      <c r="A34" s="13"/>
      <c r="B34" s="14"/>
      <c r="C34" s="13"/>
      <c r="D34" s="38" t="s">
        <v>174</v>
      </c>
      <c r="E34" s="14">
        <f>SUM(E21:E33)</f>
        <v>915223.79650000005</v>
      </c>
      <c r="F34" s="13"/>
      <c r="G34" s="13"/>
      <c r="H34" s="13"/>
    </row>
    <row r="35" spans="1:8" ht="32" x14ac:dyDescent="0.2">
      <c r="A35" s="18" t="s">
        <v>165</v>
      </c>
      <c r="B35" t="str">
        <f>IF($B$3="","",IF(SUMIFS(tblRevenue[Line Total (Rs)],tblRevenue[Project],$B$3,tblRevenue[Category],$A35)=0,"",SUMIFS(tblRevenue[Line Total (Rs)],tblRevenue[Project],$B$3,tblRevenue[Category],$A35)))</f>
        <v/>
      </c>
      <c r="D35" s="19" t="s">
        <v>163</v>
      </c>
      <c r="E35" s="23">
        <f>17+E34</f>
        <v>915240.79650000005</v>
      </c>
    </row>
    <row r="40" spans="1:8" x14ac:dyDescent="0.2">
      <c r="A40" s="1" t="s">
        <v>166</v>
      </c>
    </row>
    <row r="41" spans="1:8" x14ac:dyDescent="0.2">
      <c r="A41" s="48" t="s">
        <v>167</v>
      </c>
      <c r="B41" s="43"/>
      <c r="C41" s="43"/>
      <c r="D41" s="43"/>
      <c r="E41" s="43"/>
      <c r="F41" s="43"/>
      <c r="G41" s="43"/>
      <c r="H41" s="43"/>
    </row>
    <row r="44" spans="1:8" ht="16" customHeight="1" x14ac:dyDescent="0.2">
      <c r="A44" s="50" t="s">
        <v>168</v>
      </c>
      <c r="B44" s="43"/>
      <c r="C44" s="43"/>
      <c r="D44" s="43"/>
    </row>
    <row r="45" spans="1:8" ht="16" customHeight="1" x14ac:dyDescent="0.2">
      <c r="A45" s="2" t="s">
        <v>34</v>
      </c>
      <c r="B45" s="2" t="s">
        <v>101</v>
      </c>
    </row>
    <row r="46" spans="1:8" x14ac:dyDescent="0.2">
      <c r="A46" s="11" t="s">
        <v>38</v>
      </c>
      <c r="B46" s="10">
        <f>IF($B$3="","",SUMIFS(tblExpenses[Total excl VAT (Rs)],tblExpenses[Project],$B$3,tblExpenses[Paid By],$A46))</f>
        <v>873500</v>
      </c>
    </row>
    <row r="47" spans="1:8" x14ac:dyDescent="0.2">
      <c r="A47" s="11" t="s">
        <v>42</v>
      </c>
      <c r="B47" s="10">
        <f>IF($B$3="","",SUMIFS(tblExpenses[Total excl VAT (Rs)],tblExpenses[Project],$B$3,tblExpenses[Paid By],$A47))</f>
        <v>7494.9174999999996</v>
      </c>
    </row>
    <row r="48" spans="1:8" x14ac:dyDescent="0.2">
      <c r="A48" s="11" t="s">
        <v>47</v>
      </c>
      <c r="B48" s="10">
        <f>IF($B$3="","",SUMIFS(tblExpenses[Total excl VAT (Rs)],tblExpenses[Project],$B$3,tblExpenses[Paid By],$A48))</f>
        <v>0</v>
      </c>
    </row>
    <row r="49" spans="1:8" x14ac:dyDescent="0.2">
      <c r="A49" s="11" t="s">
        <v>52</v>
      </c>
      <c r="B49" s="10">
        <f>IF($B$3="","",SUMIFS(tblExpenses[Total excl VAT (Rs)],tblExpenses[Project],$B$3,tblExpenses[Paid By],$A49))</f>
        <v>0</v>
      </c>
    </row>
    <row r="50" spans="1:8" x14ac:dyDescent="0.2">
      <c r="A50" s="11" t="s">
        <v>56</v>
      </c>
      <c r="B50" s="10">
        <f>IF($B$3="","",SUMIFS(tblExpenses[Total excl VAT (Rs)],tblExpenses[Project],$B$3,tblExpenses[Paid By],$A50))</f>
        <v>0</v>
      </c>
    </row>
    <row r="51" spans="1:8" x14ac:dyDescent="0.2">
      <c r="A51" s="11" t="s">
        <v>59</v>
      </c>
      <c r="B51" s="10">
        <f>IF($B$3="","",SUMIFS(tblExpenses[Total excl VAT (Rs)],tblExpenses[Project],$B$3,tblExpenses[Paid By],$A51))</f>
        <v>0</v>
      </c>
    </row>
    <row r="52" spans="1:8" x14ac:dyDescent="0.2">
      <c r="A52" s="11" t="s">
        <v>61</v>
      </c>
      <c r="B52" s="10">
        <f>IF($B$3="","",SUMIFS(tblExpenses[Total excl VAT (Rs)],tblExpenses[Project],$B$3,tblExpenses[Paid By],$A52))</f>
        <v>12000</v>
      </c>
    </row>
    <row r="53" spans="1:8" x14ac:dyDescent="0.2">
      <c r="A53" s="11" t="s">
        <v>63</v>
      </c>
      <c r="B53" s="10">
        <f>IF($B$3="","",SUMIFS(tblExpenses[Total excl VAT (Rs)],tblExpenses[Project],$B$3,tblExpenses[Paid By],$A53))</f>
        <v>42753.15</v>
      </c>
    </row>
    <row r="54" spans="1:8" x14ac:dyDescent="0.2">
      <c r="A54" s="11" t="s">
        <v>65</v>
      </c>
      <c r="B54" s="10">
        <f>IF($B$3="","",SUMIFS(tblExpenses[Total excl VAT (Rs)],tblExpenses[Project],$B$3,tblExpenses[Paid By],$A54))</f>
        <v>53352.438999999998</v>
      </c>
    </row>
    <row r="57" spans="1:8" x14ac:dyDescent="0.2">
      <c r="A57" s="46" t="s">
        <v>169</v>
      </c>
      <c r="B57" s="43"/>
      <c r="C57" s="43"/>
      <c r="D57" s="43"/>
      <c r="E57" s="43"/>
      <c r="F57" s="43"/>
      <c r="G57" s="43"/>
      <c r="H57" s="43"/>
    </row>
  </sheetData>
  <mergeCells count="7">
    <mergeCell ref="A4:H4"/>
    <mergeCell ref="A57:H57"/>
    <mergeCell ref="A14:C14"/>
    <mergeCell ref="A41:H41"/>
    <mergeCell ref="A1:H1"/>
    <mergeCell ref="A16:C1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Approved_KRIS</vt:lpstr>
      <vt:lpstr>Lists</vt:lpstr>
      <vt:lpstr>Revenue</vt:lpstr>
      <vt:lpstr>Expenses</vt:lpstr>
      <vt:lpstr>Cash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</cp:lastModifiedBy>
  <dcterms:created xsi:type="dcterms:W3CDTF">2025-12-15T17:03:58Z</dcterms:created>
  <dcterms:modified xsi:type="dcterms:W3CDTF">2025-12-18T18:08:06Z</dcterms:modified>
</cp:coreProperties>
</file>